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G:\Mi unidad\FACEN_BIGDATA\"/>
    </mc:Choice>
  </mc:AlternateContent>
  <xr:revisionPtr revIDLastSave="0" documentId="13_ncr:1_{489A7F4C-BF61-4DA3-B971-9E756C50CA1F}" xr6:coauthVersionLast="47" xr6:coauthVersionMax="47" xr10:uidLastSave="{00000000-0000-0000-0000-000000000000}"/>
  <bookViews>
    <workbookView xWindow="-120" yWindow="-120" windowWidth="29040" windowHeight="15840" xr2:uid="{00000000-000D-0000-FFFF-FFFF00000000}"/>
  </bookViews>
  <sheets>
    <sheet name="cronograma" sheetId="1" r:id="rId1"/>
    <sheet name="referencias" sheetId="2" r:id="rId2"/>
    <sheet name="GDcronog" sheetId="43" r:id="rId3"/>
    <sheet name="GDportada" sheetId="52" r:id="rId4"/>
    <sheet name="GDcuerpo" sheetId="53" r:id="rId5"/>
    <sheet name="OU1" sheetId="18" r:id="rId6"/>
    <sheet name="OU2" sheetId="54" r:id="rId7"/>
    <sheet name="OU3" sheetId="55" r:id="rId8"/>
    <sheet name="OU4" sheetId="56" r:id="rId9"/>
    <sheet name="DA1.1" sheetId="28" r:id="rId10"/>
    <sheet name="DA2.1" sheetId="29" r:id="rId11"/>
    <sheet name="DA3.1" sheetId="30" r:id="rId12"/>
    <sheet name="DA4.1" sheetId="31" r:id="rId13"/>
    <sheet name="DA1.2" sheetId="33" r:id="rId14"/>
    <sheet name="DA2.2" sheetId="34" r:id="rId15"/>
    <sheet name="DA3.2" sheetId="36" r:id="rId16"/>
    <sheet name="DA4.2" sheetId="37" r:id="rId17"/>
    <sheet name="DA1.3" sheetId="38" r:id="rId18"/>
    <sheet name="DA2.3" sheetId="49" r:id="rId19"/>
    <sheet name="DA3.3" sheetId="50" r:id="rId20"/>
    <sheet name="DA4.3" sheetId="51" r:id="rId21"/>
    <sheet name="materias2023" sheetId="45" r:id="rId22"/>
  </sheets>
  <definedNames>
    <definedName name="_xlnm._FilterDatabase" localSheetId="0" hidden="1">cronograma!$A$18:$FB$35</definedName>
    <definedName name="_xlnm._FilterDatabase" localSheetId="4" hidden="1">GDcuerpo!$B$58:$F$64</definedName>
    <definedName name="_xlnm._FilterDatabase" localSheetId="3" hidden="1">GDportada!$B$21:$F$26</definedName>
    <definedName name="_xlnm._FilterDatabase" localSheetId="21" hidden="1">materias2023!$A$1:$C$67</definedName>
    <definedName name="_xlnm._FilterDatabase" localSheetId="5" hidden="1">'OU1'!$B$19:$F$24</definedName>
    <definedName name="_xlnm._FilterDatabase" localSheetId="6" hidden="1">'OU2'!$B$19:$F$24</definedName>
    <definedName name="_xlnm._FilterDatabase" localSheetId="7" hidden="1">'OU3'!$B$19:$F$24</definedName>
    <definedName name="_xlnm._FilterDatabase" localSheetId="8" hidden="1">'OU4'!$B$19:$F$24</definedName>
    <definedName name="_xlnm.Print_Area" localSheetId="3">GDportada!$B$1:$J$38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3" i="1" l="1"/>
  <c r="I44" i="1"/>
  <c r="C15" i="56" a="1"/>
  <c r="C15" i="56" s="1"/>
  <c r="C14" i="56" a="1"/>
  <c r="C14" i="56" s="1"/>
  <c r="C13" i="56" a="1"/>
  <c r="C13" i="56" s="1"/>
  <c r="B6" i="56"/>
  <c r="B4" i="56"/>
  <c r="C15" i="55" a="1"/>
  <c r="C15" i="55" s="1"/>
  <c r="C14" i="55" a="1"/>
  <c r="C14" i="55" s="1"/>
  <c r="C13" i="55" a="1"/>
  <c r="C13" i="55" s="1"/>
  <c r="B6" i="55"/>
  <c r="B4" i="55"/>
  <c r="C15" i="54" a="1"/>
  <c r="C15" i="54" s="1"/>
  <c r="C14" i="54" a="1"/>
  <c r="C14" i="54" s="1"/>
  <c r="C13" i="54" a="1"/>
  <c r="C13" i="54" s="1"/>
  <c r="B6" i="54"/>
  <c r="B4" i="54"/>
  <c r="B5" i="51"/>
  <c r="B4" i="51"/>
  <c r="B5" i="50"/>
  <c r="B4" i="50"/>
  <c r="B5" i="49"/>
  <c r="B4" i="49"/>
  <c r="B5" i="38"/>
  <c r="B5" i="37"/>
  <c r="B5" i="36"/>
  <c r="B5" i="34"/>
  <c r="B5" i="33"/>
  <c r="B5" i="31"/>
  <c r="B5" i="30"/>
  <c r="B5" i="29"/>
  <c r="B5" i="28"/>
  <c r="A13" i="2"/>
  <c r="A12" i="2"/>
  <c r="A11" i="2"/>
  <c r="A10" i="2"/>
  <c r="A9" i="2"/>
  <c r="A8" i="2"/>
  <c r="A7" i="2"/>
  <c r="A6" i="2"/>
  <c r="A5" i="2"/>
  <c r="A4" i="2"/>
  <c r="A3" i="2"/>
  <c r="A2" i="2"/>
  <c r="B3" i="31"/>
  <c r="B3" i="30"/>
  <c r="B3" i="29"/>
  <c r="B6" i="18"/>
  <c r="I41" i="1"/>
  <c r="I42" i="1"/>
  <c r="I20" i="1"/>
  <c r="I21" i="1"/>
  <c r="I22" i="1"/>
  <c r="I23" i="1"/>
  <c r="I24" i="1"/>
  <c r="I25" i="1"/>
  <c r="I26" i="1"/>
  <c r="I27" i="1"/>
  <c r="I28" i="1"/>
  <c r="I29" i="1"/>
  <c r="I30" i="1"/>
  <c r="I31" i="1"/>
  <c r="I32" i="1"/>
  <c r="I33" i="1"/>
  <c r="I34" i="1"/>
  <c r="I35" i="1"/>
  <c r="I36" i="1"/>
  <c r="I37" i="1"/>
  <c r="I38" i="1"/>
  <c r="I39" i="1"/>
  <c r="I40" i="1"/>
  <c r="I19" i="1"/>
  <c r="B4" i="1"/>
  <c r="B2" i="1"/>
  <c r="B4" i="38"/>
  <c r="B4" i="37"/>
  <c r="B4" i="36"/>
  <c r="B4" i="34"/>
  <c r="I2" i="2"/>
  <c r="I3" i="2"/>
  <c r="I4" i="2"/>
  <c r="I5" i="2"/>
  <c r="I6" i="2"/>
  <c r="I7" i="2"/>
  <c r="I8" i="2"/>
  <c r="I9" i="2"/>
  <c r="I10" i="2"/>
  <c r="I11" i="2"/>
  <c r="I12" i="2"/>
  <c r="I13" i="2"/>
  <c r="H5" i="2"/>
  <c r="H6" i="2"/>
  <c r="H7" i="2"/>
  <c r="H4" i="2"/>
  <c r="B4" i="33"/>
  <c r="B4" i="31"/>
  <c r="B4" i="30"/>
  <c r="B4" i="29"/>
  <c r="B4" i="28"/>
  <c r="B4" i="18"/>
  <c r="H2" i="2"/>
  <c r="H3" i="2"/>
  <c r="H8" i="2"/>
  <c r="H9" i="2"/>
  <c r="H10" i="2"/>
  <c r="H11" i="2"/>
  <c r="H12" i="2"/>
  <c r="H13" i="2"/>
  <c r="G7" i="43"/>
  <c r="G15" i="43" l="1"/>
  <c r="F7" i="43"/>
  <c r="F27" i="43"/>
  <c r="F8" i="43"/>
  <c r="F9" i="43"/>
  <c r="G12" i="43"/>
  <c r="G13" i="43"/>
  <c r="G27" i="43"/>
  <c r="F15" i="43"/>
  <c r="L18" i="1"/>
  <c r="F16" i="43"/>
  <c r="E23" i="54"/>
  <c r="D24" i="54"/>
  <c r="C24" i="54" s="1"/>
  <c r="G16" i="43"/>
  <c r="G28" i="43"/>
  <c r="F17" i="43"/>
  <c r="E24" i="56"/>
  <c r="D24" i="56"/>
  <c r="C24" i="56" s="1"/>
  <c r="E24" i="55"/>
  <c r="F29" i="43"/>
  <c r="E24" i="54"/>
  <c r="F18" i="43"/>
  <c r="D24" i="18"/>
  <c r="C24" i="18" s="1"/>
  <c r="F28" i="43"/>
  <c r="E23" i="18"/>
  <c r="F14" i="43"/>
  <c r="G29" i="43"/>
  <c r="F11" i="43"/>
  <c r="F10" i="43"/>
  <c r="G18" i="43"/>
  <c r="G30" i="43"/>
  <c r="D23" i="18"/>
  <c r="C23" i="18" s="1"/>
  <c r="G11" i="43"/>
  <c r="G9" i="43"/>
  <c r="G14" i="43"/>
  <c r="F12" i="43"/>
  <c r="G8" i="43"/>
  <c r="G10" i="43"/>
  <c r="E24" i="18"/>
  <c r="F30" i="43"/>
  <c r="D23" i="56"/>
  <c r="C23" i="56" s="1"/>
  <c r="D23" i="55"/>
  <c r="C23" i="55" s="1"/>
  <c r="E23" i="56"/>
  <c r="F13" i="43"/>
  <c r="G17" i="43"/>
  <c r="D23" i="54"/>
  <c r="C23" i="54" s="1"/>
  <c r="E23" i="55"/>
  <c r="D24" i="55"/>
  <c r="C24" i="55" s="1"/>
  <c r="C14" i="18" a="1"/>
  <c r="C14" i="18" s="1"/>
  <c r="C13" i="18" a="1"/>
  <c r="C13" i="18" s="1"/>
  <c r="C15" i="18" a="1"/>
  <c r="C15" i="18" s="1"/>
  <c r="J19" i="1" l="1"/>
  <c r="M18" i="1"/>
  <c r="L15" i="1"/>
  <c r="L6" i="1"/>
  <c r="M15" i="1" l="1"/>
  <c r="N18" i="1"/>
  <c r="M6" i="1"/>
  <c r="D20" i="18"/>
  <c r="D21" i="28"/>
  <c r="D7" i="43"/>
  <c r="K19" i="1"/>
  <c r="E21" i="28" l="1"/>
  <c r="E20" i="18"/>
  <c r="E7" i="43"/>
  <c r="O18" i="1"/>
  <c r="N15" i="1"/>
  <c r="N6" i="1"/>
  <c r="J20" i="1" l="1"/>
  <c r="P18" i="1"/>
  <c r="O15" i="1"/>
  <c r="O6" i="1"/>
  <c r="P6" i="1" l="1"/>
  <c r="P15" i="1"/>
  <c r="Q18" i="1"/>
  <c r="K20" i="1"/>
  <c r="D8" i="43"/>
  <c r="D21" i="18"/>
  <c r="E26" i="33"/>
  <c r="E8" i="43" l="1"/>
  <c r="E21" i="18"/>
  <c r="F26" i="33"/>
  <c r="R18" i="1"/>
  <c r="Q15" i="1"/>
  <c r="Q6" i="1"/>
  <c r="S18" i="1" l="1"/>
  <c r="R15" i="1"/>
  <c r="R6" i="1"/>
  <c r="S15" i="1" l="1"/>
  <c r="S6" i="1"/>
  <c r="T18" i="1"/>
  <c r="T15" i="1" l="1"/>
  <c r="U18" i="1"/>
  <c r="T6" i="1"/>
  <c r="U15" i="1" l="1"/>
  <c r="J35" i="1"/>
  <c r="D47" i="1" s="1"/>
  <c r="V18" i="1"/>
  <c r="U6" i="1"/>
  <c r="J21" i="1"/>
  <c r="K21" i="1" l="1"/>
  <c r="D22" i="18"/>
  <c r="D9" i="43"/>
  <c r="D23" i="38"/>
  <c r="V15" i="1"/>
  <c r="V6" i="1"/>
  <c r="W18" i="1"/>
  <c r="D19" i="43"/>
  <c r="E19" i="43" s="1"/>
  <c r="K35" i="1"/>
  <c r="E47" i="1" s="1"/>
  <c r="X18" i="1" l="1"/>
  <c r="W6" i="1"/>
  <c r="W15" i="1"/>
  <c r="E22" i="18"/>
  <c r="E23" i="38"/>
  <c r="E9" i="43"/>
  <c r="Y18" i="1" l="1"/>
  <c r="X15" i="1"/>
  <c r="X6" i="1"/>
  <c r="Y15" i="1" l="1"/>
  <c r="Z18" i="1"/>
  <c r="Y6" i="1"/>
  <c r="Z15" i="1" l="1"/>
  <c r="AA18" i="1"/>
  <c r="J22" i="1" s="1"/>
  <c r="Z6" i="1"/>
  <c r="AA6" i="1" l="1"/>
  <c r="AB18" i="1"/>
  <c r="AA15" i="1"/>
  <c r="K22" i="1"/>
  <c r="D21" i="29"/>
  <c r="D20" i="54"/>
  <c r="D10" i="43"/>
  <c r="E20" i="54" l="1"/>
  <c r="E10" i="43"/>
  <c r="E21" i="29"/>
  <c r="AB15" i="1"/>
  <c r="J36" i="1"/>
  <c r="D48" i="1" s="1"/>
  <c r="AC18" i="1"/>
  <c r="AB6" i="1"/>
  <c r="AD18" i="1" l="1"/>
  <c r="AC6" i="1"/>
  <c r="J23" i="1"/>
  <c r="AC15" i="1"/>
  <c r="D20" i="43"/>
  <c r="E20" i="43" s="1"/>
  <c r="K36" i="1"/>
  <c r="E48" i="1" s="1"/>
  <c r="K23" i="1" l="1"/>
  <c r="D21" i="54"/>
  <c r="E26" i="34"/>
  <c r="D11" i="43"/>
  <c r="AE18" i="1"/>
  <c r="AD6" i="1"/>
  <c r="AD15" i="1"/>
  <c r="AF18" i="1" l="1"/>
  <c r="AE15" i="1"/>
  <c r="AE6" i="1"/>
  <c r="E11" i="43"/>
  <c r="E21" i="54"/>
  <c r="F26" i="34"/>
  <c r="AF15" i="1" l="1"/>
  <c r="AF6" i="1"/>
  <c r="AG18" i="1"/>
  <c r="AG6" i="1" l="1"/>
  <c r="AG15" i="1"/>
  <c r="AH18" i="1"/>
  <c r="AH15" i="1" l="1"/>
  <c r="AH6" i="1"/>
  <c r="AI18" i="1"/>
  <c r="J37" i="1" l="1"/>
  <c r="D49" i="1" s="1"/>
  <c r="AI6" i="1"/>
  <c r="AJ18" i="1"/>
  <c r="AI15" i="1"/>
  <c r="AK18" i="1" l="1"/>
  <c r="AJ6" i="1"/>
  <c r="AJ15" i="1"/>
  <c r="K37" i="1"/>
  <c r="E49" i="1" s="1"/>
  <c r="D21" i="43"/>
  <c r="E21" i="43" s="1"/>
  <c r="AK15" i="1" l="1"/>
  <c r="AL18" i="1"/>
  <c r="AK6" i="1"/>
  <c r="AL15" i="1" l="1"/>
  <c r="AM18" i="1"/>
  <c r="AL6" i="1"/>
  <c r="AM6" i="1" l="1"/>
  <c r="AM15" i="1"/>
  <c r="AN18" i="1"/>
  <c r="J24" i="1" l="1"/>
  <c r="AN6" i="1"/>
  <c r="AO18" i="1"/>
  <c r="AN15" i="1"/>
  <c r="AP18" i="1" l="1"/>
  <c r="AO15" i="1"/>
  <c r="AO6" i="1"/>
  <c r="D12" i="43"/>
  <c r="K24" i="1"/>
  <c r="D23" i="49"/>
  <c r="D22" i="54"/>
  <c r="E12" i="43" l="1"/>
  <c r="E22" i="54"/>
  <c r="E23" i="49"/>
  <c r="AP15" i="1"/>
  <c r="AQ18" i="1"/>
  <c r="J38" i="1"/>
  <c r="D50" i="1" s="1"/>
  <c r="AP6" i="1"/>
  <c r="K38" i="1" l="1"/>
  <c r="E50" i="1" s="1"/>
  <c r="D22" i="43"/>
  <c r="E22" i="43" s="1"/>
  <c r="AQ6" i="1"/>
  <c r="AR18" i="1"/>
  <c r="AQ15" i="1"/>
  <c r="AR15" i="1" l="1"/>
  <c r="AR6" i="1"/>
  <c r="AS18" i="1"/>
  <c r="AS15" i="1" l="1"/>
  <c r="AS6" i="1"/>
  <c r="AT18" i="1"/>
  <c r="AT6" i="1" l="1"/>
  <c r="AU18" i="1"/>
  <c r="AT15" i="1"/>
  <c r="AU15" i="1" l="1"/>
  <c r="AV18" i="1"/>
  <c r="AU6" i="1"/>
  <c r="AV6" i="1" l="1"/>
  <c r="AV15" i="1"/>
  <c r="AW18" i="1"/>
  <c r="AW6" i="1" l="1"/>
  <c r="AW15" i="1"/>
  <c r="AX18" i="1"/>
  <c r="AX15" i="1" l="1"/>
  <c r="AX6" i="1"/>
  <c r="AY18" i="1"/>
  <c r="AY6" i="1" l="1"/>
  <c r="AZ18" i="1"/>
  <c r="AY15" i="1"/>
  <c r="AZ15" i="1" l="1"/>
  <c r="BA18" i="1"/>
  <c r="AZ6" i="1"/>
  <c r="BB18" i="1" l="1"/>
  <c r="BA6" i="1"/>
  <c r="BA15" i="1"/>
  <c r="BB15" i="1" l="1"/>
  <c r="BB6" i="1"/>
  <c r="J31" i="1"/>
  <c r="BC18" i="1"/>
  <c r="BC15" i="1" l="1"/>
  <c r="BD18" i="1"/>
  <c r="BC6" i="1"/>
  <c r="K31" i="1"/>
  <c r="E27" i="43" s="1"/>
  <c r="D27" i="43"/>
  <c r="BD15" i="1" l="1"/>
  <c r="BE18" i="1"/>
  <c r="BD6" i="1"/>
  <c r="BF18" i="1" l="1"/>
  <c r="BE15" i="1"/>
  <c r="BE6" i="1"/>
  <c r="BF15" i="1" l="1"/>
  <c r="BF6" i="1"/>
  <c r="BG18" i="1"/>
  <c r="BG15" i="1" l="1"/>
  <c r="BH18" i="1"/>
  <c r="BG6" i="1"/>
  <c r="BH6" i="1" l="1"/>
  <c r="BI18" i="1"/>
  <c r="BH15" i="1"/>
  <c r="BI6" i="1" l="1"/>
  <c r="BJ18" i="1"/>
  <c r="BI15" i="1"/>
  <c r="BK18" i="1" l="1"/>
  <c r="BJ15" i="1"/>
  <c r="BJ6" i="1"/>
  <c r="BK15" i="1" l="1"/>
  <c r="BK6" i="1"/>
  <c r="BL18" i="1"/>
  <c r="BL15" i="1" l="1"/>
  <c r="BL6" i="1"/>
  <c r="BM18" i="1"/>
  <c r="BM15" i="1" l="1"/>
  <c r="BN18" i="1"/>
  <c r="BM6" i="1"/>
  <c r="BO18" i="1" l="1"/>
  <c r="BN6" i="1"/>
  <c r="BN15" i="1"/>
  <c r="BO6" i="1" l="1"/>
  <c r="BO15" i="1"/>
  <c r="BP18" i="1"/>
  <c r="BP15" i="1" l="1"/>
  <c r="BQ18" i="1"/>
  <c r="BP6" i="1"/>
  <c r="BQ15" i="1" l="1"/>
  <c r="BQ6" i="1"/>
  <c r="BR18" i="1"/>
  <c r="BS18" i="1" l="1"/>
  <c r="BR6" i="1"/>
  <c r="BR15" i="1"/>
  <c r="BS6" i="1" l="1"/>
  <c r="BT18" i="1"/>
  <c r="BS15" i="1"/>
  <c r="BT15" i="1" l="1"/>
  <c r="BU18" i="1"/>
  <c r="BT6" i="1"/>
  <c r="BU15" i="1" l="1"/>
  <c r="BV18" i="1"/>
  <c r="BU6" i="1"/>
  <c r="BV6" i="1" l="1"/>
  <c r="BW18" i="1"/>
  <c r="BV15" i="1"/>
  <c r="BW6" i="1" l="1"/>
  <c r="BW15" i="1"/>
  <c r="BX18" i="1"/>
  <c r="BX15" i="1" l="1"/>
  <c r="BX6" i="1"/>
  <c r="BY18" i="1"/>
  <c r="BZ18" i="1" l="1"/>
  <c r="BY6" i="1"/>
  <c r="BY15" i="1"/>
  <c r="CA18" i="1" l="1"/>
  <c r="J25" i="1" s="1"/>
  <c r="BZ6" i="1"/>
  <c r="BZ15" i="1"/>
  <c r="D20" i="55" l="1"/>
  <c r="K25" i="1"/>
  <c r="D21" i="30"/>
  <c r="D13" i="43"/>
  <c r="CA15" i="1"/>
  <c r="CB18" i="1"/>
  <c r="CA6" i="1"/>
  <c r="E13" i="43" l="1"/>
  <c r="E20" i="55"/>
  <c r="E21" i="30"/>
  <c r="CB6" i="1"/>
  <c r="CC18" i="1"/>
  <c r="J39" i="1" s="1"/>
  <c r="D51" i="1" s="1"/>
  <c r="CB15" i="1"/>
  <c r="D23" i="43" l="1"/>
  <c r="E23" i="43" s="1"/>
  <c r="K39" i="1"/>
  <c r="E51" i="1" s="1"/>
  <c r="CC6" i="1"/>
  <c r="CD18" i="1"/>
  <c r="CC15" i="1"/>
  <c r="CD15" i="1" l="1"/>
  <c r="CD6" i="1"/>
  <c r="CE18" i="1"/>
  <c r="CE15" i="1" l="1"/>
  <c r="CF18" i="1"/>
  <c r="J26" i="1" s="1"/>
  <c r="CE6" i="1"/>
  <c r="D14" i="43" l="1"/>
  <c r="D21" i="55"/>
  <c r="K26" i="1"/>
  <c r="E26" i="36"/>
  <c r="CF15" i="1"/>
  <c r="CF6" i="1"/>
  <c r="CG18" i="1"/>
  <c r="F26" i="36" l="1"/>
  <c r="E21" i="55"/>
  <c r="E14" i="43"/>
  <c r="CH18" i="1"/>
  <c r="CG6" i="1"/>
  <c r="CG15" i="1"/>
  <c r="CH6" i="1" l="1"/>
  <c r="CI18" i="1"/>
  <c r="J40" i="1" s="1"/>
  <c r="D52" i="1" s="1"/>
  <c r="CH15" i="1"/>
  <c r="D24" i="43" l="1"/>
  <c r="E24" i="43" s="1"/>
  <c r="K40" i="1"/>
  <c r="E52" i="1" s="1"/>
  <c r="CI15" i="1"/>
  <c r="CJ18" i="1"/>
  <c r="J30" i="1" s="1"/>
  <c r="K30" i="1" s="1"/>
  <c r="CI6" i="1"/>
  <c r="CJ15" i="1" l="1"/>
  <c r="CK18" i="1"/>
  <c r="J27" i="1" s="1"/>
  <c r="CJ6" i="1"/>
  <c r="K27" i="1" l="1"/>
  <c r="D22" i="55"/>
  <c r="D23" i="50"/>
  <c r="D15" i="43"/>
  <c r="CK15" i="1"/>
  <c r="CL18" i="1"/>
  <c r="CK6" i="1"/>
  <c r="E22" i="55" l="1"/>
  <c r="E23" i="50"/>
  <c r="E15" i="43"/>
  <c r="CL6" i="1"/>
  <c r="CL15" i="1"/>
  <c r="CM18" i="1"/>
  <c r="CM15" i="1" l="1"/>
  <c r="CN18" i="1"/>
  <c r="CM6" i="1"/>
  <c r="CN6" i="1" l="1"/>
  <c r="CO18" i="1"/>
  <c r="CN15" i="1"/>
  <c r="CO6" i="1" l="1"/>
  <c r="CP18" i="1"/>
  <c r="CO15" i="1"/>
  <c r="J41" i="1" l="1"/>
  <c r="D53" i="1" s="1"/>
  <c r="J43" i="1"/>
  <c r="CP6" i="1"/>
  <c r="CP15" i="1"/>
  <c r="CQ18" i="1"/>
  <c r="D25" i="43" l="1"/>
  <c r="E25" i="43" s="1"/>
  <c r="K41" i="1"/>
  <c r="E53" i="1" s="1"/>
  <c r="D55" i="1"/>
  <c r="K43" i="1"/>
  <c r="E55" i="1" s="1"/>
  <c r="CQ15" i="1"/>
  <c r="CQ6" i="1"/>
  <c r="CR18" i="1"/>
  <c r="J28" i="1" s="1"/>
  <c r="K28" i="1" l="1"/>
  <c r="D20" i="56"/>
  <c r="D21" i="31"/>
  <c r="D16" i="43"/>
  <c r="CR15" i="1"/>
  <c r="CS18" i="1"/>
  <c r="CR6" i="1"/>
  <c r="E21" i="31" l="1"/>
  <c r="E16" i="43"/>
  <c r="E20" i="56"/>
  <c r="CS6" i="1"/>
  <c r="CT18" i="1"/>
  <c r="CS15" i="1"/>
  <c r="CT15" i="1" l="1"/>
  <c r="CT6" i="1"/>
  <c r="CU18" i="1"/>
  <c r="CU15" i="1" l="1"/>
  <c r="CU6" i="1"/>
  <c r="CV18" i="1"/>
  <c r="J29" i="1" s="1"/>
  <c r="D21" i="56" l="1"/>
  <c r="K29" i="1"/>
  <c r="D17" i="43"/>
  <c r="E26" i="37"/>
  <c r="CV6" i="1"/>
  <c r="CV15" i="1"/>
  <c r="CW18" i="1"/>
  <c r="J42" i="1" l="1"/>
  <c r="D54" i="1" s="1"/>
  <c r="J44" i="1"/>
  <c r="E17" i="43"/>
  <c r="E21" i="56"/>
  <c r="F26" i="37"/>
  <c r="CW15" i="1"/>
  <c r="CX18" i="1"/>
  <c r="CW6" i="1"/>
  <c r="D26" i="43" l="1"/>
  <c r="E26" i="43" s="1"/>
  <c r="K42" i="1"/>
  <c r="E54" i="1" s="1"/>
  <c r="K44" i="1"/>
  <c r="E56" i="1" s="1"/>
  <c r="D56" i="1"/>
  <c r="CX15" i="1"/>
  <c r="CY18" i="1"/>
  <c r="CX6" i="1"/>
  <c r="CY15" i="1" l="1"/>
  <c r="CY6" i="1"/>
  <c r="CZ18" i="1"/>
  <c r="CZ6" i="1" l="1"/>
  <c r="CZ15" i="1"/>
  <c r="DA18" i="1"/>
  <c r="DB18" i="1" l="1"/>
  <c r="DA15" i="1"/>
  <c r="DA6" i="1"/>
  <c r="DB6" i="1" l="1"/>
  <c r="DB15" i="1"/>
  <c r="DC18" i="1"/>
  <c r="DC15" i="1" l="1"/>
  <c r="DD18" i="1"/>
  <c r="DC6" i="1"/>
  <c r="DD15" i="1" l="1"/>
  <c r="DD6" i="1"/>
  <c r="DE18" i="1"/>
  <c r="D28" i="43"/>
  <c r="DE15" i="1" l="1"/>
  <c r="DE6" i="1"/>
  <c r="DF18" i="1"/>
  <c r="D23" i="51" l="1"/>
  <c r="D22" i="56"/>
  <c r="D18" i="43"/>
  <c r="DF6" i="1"/>
  <c r="DF15" i="1"/>
  <c r="DG18" i="1"/>
  <c r="E23" i="51" l="1"/>
  <c r="E18" i="43"/>
  <c r="E22" i="56"/>
  <c r="DG15" i="1"/>
  <c r="DH18" i="1"/>
  <c r="DG6" i="1"/>
  <c r="DH15" i="1" l="1"/>
  <c r="DI18" i="1"/>
  <c r="DH6" i="1"/>
  <c r="DI15" i="1" l="1"/>
  <c r="DI6" i="1"/>
  <c r="DJ18" i="1"/>
  <c r="DJ6" i="1" l="1"/>
  <c r="DJ15" i="1"/>
  <c r="DK18" i="1"/>
  <c r="DL18" i="1" l="1"/>
  <c r="DK15" i="1"/>
  <c r="DK6" i="1"/>
  <c r="DL6" i="1" l="1"/>
  <c r="DL15" i="1"/>
  <c r="DM18" i="1"/>
  <c r="DM15" i="1" l="1"/>
  <c r="DM6" i="1"/>
  <c r="DN18" i="1"/>
  <c r="DN15" i="1" l="1"/>
  <c r="DN6" i="1"/>
  <c r="DO18" i="1"/>
  <c r="DP18" i="1" l="1"/>
  <c r="DO15" i="1"/>
  <c r="DO6" i="1"/>
  <c r="DP6" i="1" l="1"/>
  <c r="DP15" i="1"/>
  <c r="DQ18" i="1"/>
  <c r="J32" i="1" s="1"/>
  <c r="K32" i="1" s="1"/>
  <c r="E28" i="43" s="1"/>
  <c r="DQ15" i="1" l="1"/>
  <c r="DR18" i="1"/>
  <c r="DQ6" i="1"/>
  <c r="DR15" i="1" l="1"/>
  <c r="DS18" i="1"/>
  <c r="DR6" i="1"/>
  <c r="DS15" i="1" l="1"/>
  <c r="DT18" i="1"/>
  <c r="DS6" i="1"/>
  <c r="DT6" i="1" l="1"/>
  <c r="DU18" i="1"/>
  <c r="DT15" i="1"/>
  <c r="DU15" i="1" l="1"/>
  <c r="DU6" i="1"/>
  <c r="DV18" i="1"/>
  <c r="DV15" i="1" l="1"/>
  <c r="DV6" i="1"/>
  <c r="DW18" i="1"/>
  <c r="DW6" i="1" l="1"/>
  <c r="DX18" i="1"/>
  <c r="DW15" i="1"/>
  <c r="DX6" i="1" l="1"/>
  <c r="DY18" i="1"/>
  <c r="DX15" i="1"/>
  <c r="J33" i="1" l="1"/>
  <c r="DZ18" i="1"/>
  <c r="DY15" i="1"/>
  <c r="DY6" i="1"/>
  <c r="DZ15" i="1" l="1"/>
  <c r="EA18" i="1"/>
  <c r="DZ6" i="1"/>
  <c r="K33" i="1"/>
  <c r="E29" i="43" s="1"/>
  <c r="D29" i="43"/>
  <c r="EA15" i="1" l="1"/>
  <c r="EB18" i="1"/>
  <c r="EA6" i="1"/>
  <c r="EB15" i="1" l="1"/>
  <c r="EC18" i="1"/>
  <c r="EB6" i="1"/>
  <c r="EC15" i="1" l="1"/>
  <c r="ED18" i="1"/>
  <c r="EC6" i="1"/>
  <c r="ED15" i="1" l="1"/>
  <c r="ED6" i="1"/>
  <c r="EE18" i="1"/>
  <c r="EE15" i="1" l="1"/>
  <c r="EE6" i="1"/>
  <c r="EF18" i="1"/>
  <c r="EF15" i="1" l="1"/>
  <c r="EG18" i="1"/>
  <c r="EF6" i="1"/>
  <c r="EG15" i="1" l="1"/>
  <c r="EH18" i="1"/>
  <c r="EG6" i="1"/>
  <c r="EH15" i="1" l="1"/>
  <c r="EI18" i="1"/>
  <c r="EH6" i="1"/>
  <c r="EI6" i="1" l="1"/>
  <c r="EI15" i="1"/>
  <c r="EJ18" i="1"/>
  <c r="EJ15" i="1" l="1"/>
  <c r="EJ6" i="1"/>
  <c r="EK18" i="1"/>
  <c r="EL18" i="1" l="1"/>
  <c r="EK6" i="1"/>
  <c r="EK15" i="1"/>
  <c r="EL15" i="1" l="1"/>
  <c r="EM18" i="1"/>
  <c r="EL6" i="1"/>
  <c r="EM6" i="1" l="1"/>
  <c r="EM15" i="1"/>
  <c r="EN18" i="1"/>
  <c r="EN6" i="1" l="1"/>
  <c r="EN15" i="1"/>
  <c r="EO18" i="1"/>
  <c r="EP18" i="1" l="1"/>
  <c r="EO6" i="1"/>
  <c r="EO15" i="1"/>
  <c r="EP6" i="1" l="1"/>
  <c r="EP15" i="1"/>
  <c r="EQ18" i="1"/>
  <c r="EQ6" i="1" l="1"/>
  <c r="ER18" i="1"/>
  <c r="EQ15" i="1"/>
  <c r="ER6" i="1" l="1"/>
  <c r="ES18" i="1"/>
  <c r="ER15" i="1"/>
  <c r="ES15" i="1" l="1"/>
  <c r="ET18" i="1"/>
  <c r="ES6" i="1"/>
  <c r="ET15" i="1" l="1"/>
  <c r="ET6" i="1"/>
  <c r="EU18" i="1"/>
  <c r="J34" i="1" s="1"/>
  <c r="EV18" i="1" l="1"/>
  <c r="EU6" i="1"/>
  <c r="EU15" i="1"/>
  <c r="K34" i="1" l="1"/>
  <c r="E30" i="43" s="1"/>
  <c r="D30" i="43"/>
  <c r="EV6" i="1"/>
  <c r="EV15" i="1"/>
  <c r="EW18" i="1"/>
  <c r="EW15" i="1" l="1"/>
  <c r="EX18" i="1"/>
  <c r="EX15" i="1" l="1"/>
  <c r="EY18" i="1"/>
  <c r="EZ18" i="1" l="1"/>
  <c r="EY15" i="1"/>
  <c r="EZ15" i="1" l="1"/>
  <c r="FA18" i="1"/>
  <c r="FA15" i="1" l="1"/>
  <c r="FB18" i="1"/>
  <c r="FB15" i="1" l="1"/>
  <c r="FC18" i="1"/>
  <c r="FC15" i="1" l="1"/>
  <c r="FD18" i="1"/>
  <c r="FE18" i="1" l="1"/>
  <c r="FD15" i="1"/>
  <c r="FF18" i="1" l="1"/>
  <c r="FE15" i="1"/>
  <c r="FF15" i="1" l="1"/>
  <c r="FG18" i="1"/>
  <c r="FG15" i="1" l="1"/>
  <c r="FH18" i="1"/>
  <c r="FI18" i="1" l="1"/>
  <c r="FH15" i="1"/>
  <c r="FI15" i="1" l="1"/>
  <c r="FJ18" i="1"/>
  <c r="FJ15" i="1" l="1"/>
  <c r="FK18" i="1"/>
  <c r="FK15" i="1" l="1"/>
  <c r="FL18" i="1"/>
  <c r="FM18" i="1" l="1"/>
  <c r="FL15" i="1"/>
  <c r="FN18" i="1" l="1"/>
  <c r="FM15" i="1"/>
  <c r="FO18" i="1" l="1"/>
  <c r="FN15" i="1"/>
  <c r="FO15" i="1" l="1"/>
  <c r="FP18" i="1"/>
  <c r="FQ18" i="1" l="1"/>
  <c r="FQ15" i="1" s="1"/>
  <c r="FP1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<sst xmlns="http://schemas.openxmlformats.org/spreadsheetml/2006/main" count="1070" uniqueCount="481">
  <si>
    <t>Periodo de clases 1ra etapa</t>
  </si>
  <si>
    <t>Periodo de 1er  parcial</t>
  </si>
  <si>
    <t>Periodo de clases 2da  etapa</t>
  </si>
  <si>
    <t>Periodo de 2do  parcial</t>
  </si>
  <si>
    <t>Fecha inicio</t>
  </si>
  <si>
    <t>Fecha fin</t>
  </si>
  <si>
    <t>Periodo finales</t>
  </si>
  <si>
    <t>Unidad</t>
  </si>
  <si>
    <t>Duración (días)</t>
  </si>
  <si>
    <t>Desc actividad</t>
  </si>
  <si>
    <t>Nro.</t>
  </si>
  <si>
    <t>Nombre unidad</t>
  </si>
  <si>
    <t>Puntaje asignado</t>
  </si>
  <si>
    <t>Tipo de actividad</t>
  </si>
  <si>
    <t>AF</t>
  </si>
  <si>
    <t>AA</t>
  </si>
  <si>
    <t xml:space="preserve">AI </t>
  </si>
  <si>
    <t>Unidad 1</t>
  </si>
  <si>
    <t>Unidad 2</t>
  </si>
  <si>
    <t>Unidad 3</t>
  </si>
  <si>
    <t>Unidad 4</t>
  </si>
  <si>
    <t>Nombre de la unidad</t>
  </si>
  <si>
    <t>Objetivos</t>
  </si>
  <si>
    <t>Descripción unidad</t>
  </si>
  <si>
    <t>1. Estudio de los materiales de aprendizaje de la unidad</t>
  </si>
  <si>
    <t>1. 1er parcial</t>
  </si>
  <si>
    <t>2. 2do parcial</t>
  </si>
  <si>
    <t>3. 1er final</t>
  </si>
  <si>
    <t>4. 2do final</t>
  </si>
  <si>
    <t>Control de Proyectos</t>
  </si>
  <si>
    <t>ref2</t>
  </si>
  <si>
    <t>Las actividades que se realizarán para el logro de estos objetivos son:</t>
  </si>
  <si>
    <t>Descripción de Actividad</t>
  </si>
  <si>
    <t>Inicio</t>
  </si>
  <si>
    <t>Fin</t>
  </si>
  <si>
    <t>Estudio de los materiales de aprendizaje de la unidad</t>
  </si>
  <si>
    <t>Foro de discusión sobre problemas de aplicación</t>
  </si>
  <si>
    <t>Desarrollo del cuestionario en línea de la unidad.</t>
  </si>
  <si>
    <t>Puntos</t>
  </si>
  <si>
    <t xml:space="preserve">Se espera que al culminar esta  unidad logres: </t>
  </si>
  <si>
    <t>Estudio de los materiales de aprendizaje de la unidad (AF)</t>
  </si>
  <si>
    <t>Foro de discusión sobre problemas de aplicación (AI)</t>
  </si>
  <si>
    <t>Desarrollo del cuestionario en línea de la unidad. (AA)</t>
  </si>
  <si>
    <t>Orientaciones de la unidad</t>
  </si>
  <si>
    <r>
      <rPr>
        <b/>
        <sz val="11"/>
        <color theme="1"/>
        <rFont val="Calibri"/>
        <family val="2"/>
        <scheme val="minor"/>
      </rPr>
      <t>Referencias</t>
    </r>
    <r>
      <rPr>
        <sz val="11"/>
        <color theme="1"/>
        <rFont val="Calibri"/>
        <family val="2"/>
        <scheme val="minor"/>
      </rPr>
      <t>: AA: Actividad de aprendizaje individual AI: Actividad Interactiva AF: Actividad de Fijación
Ante cualquier duda, recuerda que puedes manifestarla en el foro Consultas de esta unidad. Estoy aquí para acompañarte.</t>
    </r>
  </si>
  <si>
    <t>Estimado estudiante, la actividad 1 consiste en estudiar los materiales disponibles en el apartado de Recursos del aula virtual y la actividad 2 consiste en completar una breve actividad de evaluación sobre lo aprendido. 
Para este trabajo pupedes seguir las indicaciones siguientes:
1.	Estudia los contenidos tratados en clase apoyado en los materiales de aprendizaje
2.	Visualiza también los videos tutoriales disponibles.
3.	Responde y resuelve las cuestiones planteadas en el apartado de la actividad 3 de la unidad dentro del aula virtual
4.	El plazo para participar de estas actividades está dado en la tabla</t>
  </si>
  <si>
    <r>
      <rPr>
        <b/>
        <sz val="11"/>
        <color theme="1"/>
        <rFont val="Calibri"/>
        <family val="2"/>
        <scheme val="minor"/>
      </rPr>
      <t>Referencias</t>
    </r>
    <r>
      <rPr>
        <sz val="11"/>
        <color theme="1"/>
        <rFont val="Calibri"/>
        <family val="2"/>
        <scheme val="minor"/>
      </rPr>
      <t>: AA: Actividad de aprendizaje individual AI: Actividad Interactiva AF: Actividad de Fijación</t>
    </r>
  </si>
  <si>
    <t xml:space="preserve">Estimado estudiante, esta actividad consiste en participar del foro sobre los problemas de aplicación de la unidad. Para este trabajo debes seguir las indicaciones siguientes:
1.	Lee con detenimiento el material de lectura de la unidad que encontrarás en el apartado “Recursos”.
2.	Visualiza también los videos disponibles.
3.	Accede al enlace del documento compartido indicado en la descripción del foro
4.	Selecciona una de las hojas con los ejercicios planteados (no debe coincidir con la de otro compañero).
5.	Las respuestas y los comentarios los pueden dejar en la misma hoja del Excel. 
6.	Simplemente seleccionan la celda con el contenido que desean comentar y,
7.	con el botón derecho despliegan las opciones y seleccionan "Comentario".
8.	Responde a las cuestiones planteadas resolviendo la consigna en la hoja del Excel.
9.	Recuerda que no debes descargar el libro sino editarlo en línea.  
10.	Lee cada día los aportes que van danto tus compañeros y compañeras.
11.	Realiza un comentario al menos a dos de los aportes dados por tus compañeros.
12.	Añade al foro un nuevo tema indicando cuál de los problemas seleccionaste para resolver.
13.	El plazo para participar de esta actividad está dado en la tabla
</t>
  </si>
  <si>
    <t>ref3</t>
  </si>
  <si>
    <t>Nro. Act.</t>
  </si>
  <si>
    <r>
      <rPr>
        <b/>
        <sz val="11"/>
        <color theme="1"/>
        <rFont val="Calibri"/>
        <family val="2"/>
        <scheme val="minor"/>
      </rPr>
      <t>Referencias</t>
    </r>
    <r>
      <rPr>
        <sz val="11"/>
        <color theme="1"/>
        <rFont val="Calibri"/>
        <family val="2"/>
        <scheme val="minor"/>
      </rPr>
      <t>: AA: Actividad de aprendizaje individual AI: Actividad Interactiva AF: Actividad de Fijación
Estas fechas son recomendaciones para ayudar a la organización de tus estudios. Principalmente, debes tener en cuenta las fechas de entrega y los periodos de participación de las actividades.
Ante cualquier duda, recuerda que puedes manifestarla en el foro Consultas de esta unidad. Estoy aquí para acompañarte.</t>
    </r>
  </si>
  <si>
    <t>Esta actividad tiene asignados un total de 100 puntos, los detalles sobre el desglose de puntos está disponible en la planilla electrónica a completar. 
Ante cualquier duda, recuerda que puedes manifestarla en el foro Consultas de esta unidad. Estoy aquí para acompañarte.</t>
  </si>
  <si>
    <t>Esta actividad tiene asignado un total de 100 puntos, 10 por cada ítem del cuestionario. 
Si surge alguna duda en el proceso de desarrollo de la actividad, recuerda que puedes plantearla en el foro de consultas de esta unidad.</t>
  </si>
  <si>
    <t>Esta actividad consiste en responder al cuestionario en línea sobre los contenidos desarrollados en la unidad.
Para este trabajo es de suma importancia la reflexión y el análisis que realices de los materiales de lectura disponibles entre los “Recursos”. Por supuesto, puedes utilizar más bibliografía aparte de las lecturas que encontrarás en dicho apartado.  Ingresa al cuestionario denominado “AA-Actividad #.4 - cuestionario” y contesta las preguntas planteadas.
Ten en cuenta que tendrás solo una oportunidad para responder al cuestionario. Verás tu puntaje inmediatamente después del intento ya que el cuestionario es completamente de selección múltiple y podrás verificar las respuestas correctas una vez cerrado el periodo de tiempo disponible para completar el cuestionario.
El plazo para participar de esta actividad está dado en la tabla.</t>
  </si>
  <si>
    <t>Evaluaciones</t>
  </si>
  <si>
    <t>Evaluaciones parciales y Finales</t>
  </si>
  <si>
    <t>Tipo de activ.</t>
  </si>
  <si>
    <t>Cronograma de actividades</t>
  </si>
  <si>
    <t>1. Estudio de los materiales de aprendizaje</t>
  </si>
  <si>
    <t>Año</t>
  </si>
  <si>
    <t>Nombre de la materia</t>
  </si>
  <si>
    <t xml:space="preserve">Carrera </t>
  </si>
  <si>
    <t>codasign</t>
  </si>
  <si>
    <t>carrera</t>
  </si>
  <si>
    <t>descrip</t>
  </si>
  <si>
    <t xml:space="preserve">01D  </t>
  </si>
  <si>
    <t xml:space="preserve">010ZD     </t>
  </si>
  <si>
    <t>Administración Educacional</t>
  </si>
  <si>
    <t xml:space="preserve">43M  </t>
  </si>
  <si>
    <t>Algebra Elemental</t>
  </si>
  <si>
    <t xml:space="preserve">66M  </t>
  </si>
  <si>
    <t>Algebra Lineal</t>
  </si>
  <si>
    <t xml:space="preserve">71M  </t>
  </si>
  <si>
    <t>Álgebra Superior I</t>
  </si>
  <si>
    <t xml:space="preserve">72M  </t>
  </si>
  <si>
    <t>Álgebra Superior II</t>
  </si>
  <si>
    <t xml:space="preserve">44M  </t>
  </si>
  <si>
    <t>Aritmética</t>
  </si>
  <si>
    <t xml:space="preserve">67M  </t>
  </si>
  <si>
    <t>Cálculo de una variable</t>
  </si>
  <si>
    <t xml:space="preserve">68M  </t>
  </si>
  <si>
    <t>Cálculo de varias variables</t>
  </si>
  <si>
    <t xml:space="preserve">10C  </t>
  </si>
  <si>
    <t xml:space="preserve">02D  </t>
  </si>
  <si>
    <t>Curriculum</t>
  </si>
  <si>
    <t xml:space="preserve">07M  </t>
  </si>
  <si>
    <t>Demografía</t>
  </si>
  <si>
    <t xml:space="preserve">31D  </t>
  </si>
  <si>
    <t>Didáctica de las Matemáticas</t>
  </si>
  <si>
    <t xml:space="preserve">05D  </t>
  </si>
  <si>
    <t>Didáctica General</t>
  </si>
  <si>
    <t xml:space="preserve">69M  </t>
  </si>
  <si>
    <t>Ecuaciones Diferenciales</t>
  </si>
  <si>
    <t xml:space="preserve">25D  </t>
  </si>
  <si>
    <t>Educación y Nuevas Tecnologías I</t>
  </si>
  <si>
    <t xml:space="preserve">26D  </t>
  </si>
  <si>
    <t>Educación y Nuevas Tecnologias II</t>
  </si>
  <si>
    <t xml:space="preserve">09D  </t>
  </si>
  <si>
    <t>Evaluación del Aprendizaje</t>
  </si>
  <si>
    <t xml:space="preserve">10D  </t>
  </si>
  <si>
    <t>Filosofía de la Educación</t>
  </si>
  <si>
    <t xml:space="preserve">11D  </t>
  </si>
  <si>
    <t>Formación Ética Profesional</t>
  </si>
  <si>
    <t xml:space="preserve">11M  </t>
  </si>
  <si>
    <t>Geometría Analítica y Vectores II</t>
  </si>
  <si>
    <t xml:space="preserve">12M  </t>
  </si>
  <si>
    <t>Geometría y Trigonometría</t>
  </si>
  <si>
    <t xml:space="preserve">12D  </t>
  </si>
  <si>
    <t>Inglés Técnico</t>
  </si>
  <si>
    <t xml:space="preserve">36D  </t>
  </si>
  <si>
    <t>Investigación en Educación de la Matemática I</t>
  </si>
  <si>
    <t xml:space="preserve">37D  </t>
  </si>
  <si>
    <t>Investigación en Educación de la Matemática II</t>
  </si>
  <si>
    <t xml:space="preserve">13D  </t>
  </si>
  <si>
    <t>Lengua Castellana</t>
  </si>
  <si>
    <t xml:space="preserve">14D  </t>
  </si>
  <si>
    <t>Lengua Guaraní</t>
  </si>
  <si>
    <t xml:space="preserve">17M  </t>
  </si>
  <si>
    <t>Lógica Matemática</t>
  </si>
  <si>
    <t xml:space="preserve">47M  </t>
  </si>
  <si>
    <t>Matemática Financiera</t>
  </si>
  <si>
    <t xml:space="preserve">18M  </t>
  </si>
  <si>
    <t>Método Numérico</t>
  </si>
  <si>
    <t xml:space="preserve">15D  </t>
  </si>
  <si>
    <t>Pedagogía I</t>
  </si>
  <si>
    <t xml:space="preserve">16D  </t>
  </si>
  <si>
    <t>Pedagogía II</t>
  </si>
  <si>
    <t xml:space="preserve">38D  </t>
  </si>
  <si>
    <t>Planificación Educativa</t>
  </si>
  <si>
    <t xml:space="preserve">50D  </t>
  </si>
  <si>
    <t>Práctica Educativa en Matemática I</t>
  </si>
  <si>
    <t xml:space="preserve">51D  </t>
  </si>
  <si>
    <t>Práctica Educativa en Matemática II</t>
  </si>
  <si>
    <t xml:space="preserve">29D  </t>
  </si>
  <si>
    <t>Práctica Educativa en Matemática III</t>
  </si>
  <si>
    <t xml:space="preserve">19C  </t>
  </si>
  <si>
    <t>Probabilidad y Estadística II</t>
  </si>
  <si>
    <t xml:space="preserve">65M  </t>
  </si>
  <si>
    <t>Probabilidad y Estadística III</t>
  </si>
  <si>
    <t xml:space="preserve">21D  </t>
  </si>
  <si>
    <t>Psicología Educativa</t>
  </si>
  <si>
    <t xml:space="preserve">22D  </t>
  </si>
  <si>
    <t>Sociología de la Educación</t>
  </si>
  <si>
    <t xml:space="preserve">24M  </t>
  </si>
  <si>
    <t>Teoría de Conjuntos</t>
  </si>
  <si>
    <t xml:space="preserve">010YD     </t>
  </si>
  <si>
    <t xml:space="preserve">08C  </t>
  </si>
  <si>
    <t>Biología General</t>
  </si>
  <si>
    <t xml:space="preserve">59B  </t>
  </si>
  <si>
    <t>Biologia y Educación para la Salud</t>
  </si>
  <si>
    <t xml:space="preserve">60B  </t>
  </si>
  <si>
    <t>Botánica</t>
  </si>
  <si>
    <t xml:space="preserve">106F </t>
  </si>
  <si>
    <t>Cosmografía</t>
  </si>
  <si>
    <t xml:space="preserve">32G  </t>
  </si>
  <si>
    <t>Cristalografía y Mineralogía</t>
  </si>
  <si>
    <t xml:space="preserve">23D  </t>
  </si>
  <si>
    <t>Didáctica de las Ciencias Básicas</t>
  </si>
  <si>
    <t xml:space="preserve">53B  </t>
  </si>
  <si>
    <t>Ecologia y Educacion Ambiental</t>
  </si>
  <si>
    <t>Ecología y Educación Ambiental</t>
  </si>
  <si>
    <t xml:space="preserve">76F  </t>
  </si>
  <si>
    <t>Física Experimental I</t>
  </si>
  <si>
    <t xml:space="preserve">79F  </t>
  </si>
  <si>
    <t>Fisica Moderna</t>
  </si>
  <si>
    <t>Física Moderna</t>
  </si>
  <si>
    <t xml:space="preserve">80F  </t>
  </si>
  <si>
    <t>Física Térmica</t>
  </si>
  <si>
    <t xml:space="preserve">58B  </t>
  </si>
  <si>
    <t>Fundamentos de Genética</t>
  </si>
  <si>
    <t xml:space="preserve">34Q  </t>
  </si>
  <si>
    <t>Fundamentos de Quimica Inorgánica</t>
  </si>
  <si>
    <t>Fundamentos de Química Inorgánica</t>
  </si>
  <si>
    <t xml:space="preserve">33G  </t>
  </si>
  <si>
    <t>Geología</t>
  </si>
  <si>
    <t xml:space="preserve">34D  </t>
  </si>
  <si>
    <t>Investigación  en Educación de las Ciencias I</t>
  </si>
  <si>
    <t xml:space="preserve">35D  </t>
  </si>
  <si>
    <t>Investigación en Educacion de las Ciencias II</t>
  </si>
  <si>
    <t xml:space="preserve">81F  </t>
  </si>
  <si>
    <t>Oscilaciones, Ondas y Optica</t>
  </si>
  <si>
    <t>Oscilaciones, Ondas y Óptica</t>
  </si>
  <si>
    <t xml:space="preserve">34G  </t>
  </si>
  <si>
    <t>Petrología, Litoestratigrafia y Edafologia</t>
  </si>
  <si>
    <t>Petrología, Litoestratigrafía y Edafología</t>
  </si>
  <si>
    <t xml:space="preserve">44D  </t>
  </si>
  <si>
    <t>Practica Educativa de las Ciencias Básicas I</t>
  </si>
  <si>
    <t>Práctica Educativa de las Ciencias Básicas I</t>
  </si>
  <si>
    <t xml:space="preserve">45D  </t>
  </si>
  <si>
    <t xml:space="preserve">Práctica Educativa de las Ciencias Básicas II </t>
  </si>
  <si>
    <t xml:space="preserve">70M  </t>
  </si>
  <si>
    <t>Probabilidad y Estadistica</t>
  </si>
  <si>
    <t xml:space="preserve">55B  </t>
  </si>
  <si>
    <t>Zoologia</t>
  </si>
  <si>
    <t>Zoología</t>
  </si>
  <si>
    <t xml:space="preserve">02C  </t>
  </si>
  <si>
    <t xml:space="preserve">09MED     </t>
  </si>
  <si>
    <t>Algebra Lineal I</t>
  </si>
  <si>
    <t xml:space="preserve">03C  </t>
  </si>
  <si>
    <t>Algebra Lineal II</t>
  </si>
  <si>
    <t xml:space="preserve">01M  </t>
  </si>
  <si>
    <t>Análisis de Datos en Categorías</t>
  </si>
  <si>
    <t xml:space="preserve">02M  </t>
  </si>
  <si>
    <t>Análisis de Datos I</t>
  </si>
  <si>
    <t xml:space="preserve">03M  </t>
  </si>
  <si>
    <t>Análisis de Datos II</t>
  </si>
  <si>
    <t xml:space="preserve">04M  </t>
  </si>
  <si>
    <t>Análisis de Regresión y Correlación</t>
  </si>
  <si>
    <t xml:space="preserve">05M  </t>
  </si>
  <si>
    <t>Análisis de Serie de Tiempo</t>
  </si>
  <si>
    <t xml:space="preserve">04C  </t>
  </si>
  <si>
    <t>Análisis Matemático I</t>
  </si>
  <si>
    <t xml:space="preserve">05C  </t>
  </si>
  <si>
    <t>Análisis Matemático II</t>
  </si>
  <si>
    <t xml:space="preserve">06C  </t>
  </si>
  <si>
    <t>Análisis Matemático III</t>
  </si>
  <si>
    <t xml:space="preserve">06M  </t>
  </si>
  <si>
    <t>Análisis Multivariado</t>
  </si>
  <si>
    <t xml:space="preserve">08M  </t>
  </si>
  <si>
    <t>Diseño de Experimentos</t>
  </si>
  <si>
    <t xml:space="preserve">09M  </t>
  </si>
  <si>
    <t>Econometría</t>
  </si>
  <si>
    <t xml:space="preserve">10M  </t>
  </si>
  <si>
    <t>Estadística no Paramétrica</t>
  </si>
  <si>
    <t xml:space="preserve">13M  </t>
  </si>
  <si>
    <t>Inferencia Bayesiana</t>
  </si>
  <si>
    <t xml:space="preserve">14M  </t>
  </si>
  <si>
    <t>Inferencia Estadística I</t>
  </si>
  <si>
    <t xml:space="preserve">15M  </t>
  </si>
  <si>
    <t>Inferencia Estadística II</t>
  </si>
  <si>
    <t xml:space="preserve">M46E </t>
  </si>
  <si>
    <t xml:space="preserve">01MED     </t>
  </si>
  <si>
    <t>Inferencia Estadística III</t>
  </si>
  <si>
    <t xml:space="preserve">16M  </t>
  </si>
  <si>
    <t>Investigación de Operaciones</t>
  </si>
  <si>
    <t xml:space="preserve">19M  </t>
  </si>
  <si>
    <t>Modelos Lineales</t>
  </si>
  <si>
    <t xml:space="preserve">20M  </t>
  </si>
  <si>
    <t>Modelos Lineales Generalizado</t>
  </si>
  <si>
    <t xml:space="preserve">21M  </t>
  </si>
  <si>
    <t>Muestreo Avanzado</t>
  </si>
  <si>
    <t xml:space="preserve">22M  </t>
  </si>
  <si>
    <t>Procesos Estocásticos</t>
  </si>
  <si>
    <t xml:space="preserve">23M  </t>
  </si>
  <si>
    <t>Técnicas de Muestreo</t>
  </si>
  <si>
    <t xml:space="preserve">09TD      </t>
  </si>
  <si>
    <t xml:space="preserve">T01T </t>
  </si>
  <si>
    <t xml:space="preserve">01TD      </t>
  </si>
  <si>
    <t>Administración de la Producción</t>
  </si>
  <si>
    <t xml:space="preserve">01T  </t>
  </si>
  <si>
    <t>Administración de la Producción y las Operaciones</t>
  </si>
  <si>
    <t xml:space="preserve">02T  </t>
  </si>
  <si>
    <t>Contabilidad</t>
  </si>
  <si>
    <t xml:space="preserve">03T  </t>
  </si>
  <si>
    <t>Diseño y Distribución de Planta</t>
  </si>
  <si>
    <t xml:space="preserve">04T  </t>
  </si>
  <si>
    <t>Elementos y Fundamentos de Máquinas</t>
  </si>
  <si>
    <t xml:space="preserve">05T  </t>
  </si>
  <si>
    <t>Entrenamiento y Desarrollo de Personas en la Organización</t>
  </si>
  <si>
    <t xml:space="preserve">07T  </t>
  </si>
  <si>
    <t>Formulación y Evaluación de Proyectos de Inversión</t>
  </si>
  <si>
    <t xml:space="preserve">T13T </t>
  </si>
  <si>
    <t xml:space="preserve">08T  </t>
  </si>
  <si>
    <t>Gestión de Calidad</t>
  </si>
  <si>
    <t xml:space="preserve">09T  </t>
  </si>
  <si>
    <t>Gestión del Talento Humano</t>
  </si>
  <si>
    <t xml:space="preserve">10T  </t>
  </si>
  <si>
    <t>Gestión Empresarial</t>
  </si>
  <si>
    <t xml:space="preserve">11T  </t>
  </si>
  <si>
    <t>Innovación y Desarrollo de Nuevos Productos</t>
  </si>
  <si>
    <t xml:space="preserve">12T  </t>
  </si>
  <si>
    <t>Legislación Laboral</t>
  </si>
  <si>
    <t xml:space="preserve">13T  </t>
  </si>
  <si>
    <t>Mercadotécnia I</t>
  </si>
  <si>
    <t xml:space="preserve">14T  </t>
  </si>
  <si>
    <t>Mercadotécnia II</t>
  </si>
  <si>
    <t xml:space="preserve">15T  </t>
  </si>
  <si>
    <t>Métodos y Tiempos</t>
  </si>
  <si>
    <t xml:space="preserve">16T  </t>
  </si>
  <si>
    <t>Operaciones Básicas de la Industria I</t>
  </si>
  <si>
    <t xml:space="preserve">17T  </t>
  </si>
  <si>
    <t>Operaciones Básicas de la Industria II</t>
  </si>
  <si>
    <t xml:space="preserve">18T  </t>
  </si>
  <si>
    <t>Organización y Métodos</t>
  </si>
  <si>
    <t xml:space="preserve">19T  </t>
  </si>
  <si>
    <t>Pasantía en Empresas</t>
  </si>
  <si>
    <t xml:space="preserve">T25T </t>
  </si>
  <si>
    <t xml:space="preserve">20T  </t>
  </si>
  <si>
    <t>Plan de Negocios</t>
  </si>
  <si>
    <t xml:space="preserve">24C  </t>
  </si>
  <si>
    <t>Química Orgánica I</t>
  </si>
  <si>
    <t xml:space="preserve">21T  </t>
  </si>
  <si>
    <t>Sistemas de Producción I</t>
  </si>
  <si>
    <t xml:space="preserve">22T  </t>
  </si>
  <si>
    <t>Sistemas de Producción II</t>
  </si>
  <si>
    <t xml:space="preserve">23T  </t>
  </si>
  <si>
    <t>Sistemas y Recursos Económicos</t>
  </si>
  <si>
    <t xml:space="preserve">24T  </t>
  </si>
  <si>
    <t>Sociología Empresarial</t>
  </si>
  <si>
    <t xml:space="preserve">25T  </t>
  </si>
  <si>
    <t>Tecnología Relacionada</t>
  </si>
  <si>
    <t xml:space="preserve">26T  </t>
  </si>
  <si>
    <t xml:space="preserve">Teoría Económica </t>
  </si>
  <si>
    <t xml:space="preserve">27T  </t>
  </si>
  <si>
    <t>Teoría Microeconómica</t>
  </si>
  <si>
    <t xml:space="preserve">25C  </t>
  </si>
  <si>
    <t>Termodinámica</t>
  </si>
  <si>
    <t xml:space="preserve">26C  </t>
  </si>
  <si>
    <t>Trabajo de Grado</t>
  </si>
  <si>
    <t xml:space="preserve">T32T </t>
  </si>
  <si>
    <t xml:space="preserve">49M  </t>
  </si>
  <si>
    <t>Estadística Aplicada</t>
  </si>
  <si>
    <t xml:space="preserve">59M  </t>
  </si>
  <si>
    <t>Formulación de Proyectos</t>
  </si>
  <si>
    <t xml:space="preserve">76M  </t>
  </si>
  <si>
    <t>Fundamentos de Estadística con R</t>
  </si>
  <si>
    <t xml:space="preserve">64M  </t>
  </si>
  <si>
    <t>Gestión Financiera Pública</t>
  </si>
  <si>
    <t xml:space="preserve">34T  </t>
  </si>
  <si>
    <t>Logística</t>
  </si>
  <si>
    <t xml:space="preserve">35T  </t>
  </si>
  <si>
    <t>Redes de Empresas</t>
  </si>
  <si>
    <t xml:space="preserve">28T  </t>
  </si>
  <si>
    <t>Responsabilidad Social</t>
  </si>
  <si>
    <t xml:space="preserve">29T  </t>
  </si>
  <si>
    <t>Seguridad e Higiene en el Trabajo</t>
  </si>
  <si>
    <t>M78E</t>
  </si>
  <si>
    <t>Analítica de Big Data</t>
  </si>
  <si>
    <t>Horas semanales de clase</t>
  </si>
  <si>
    <t>Modalidad</t>
  </si>
  <si>
    <t>Virtual</t>
  </si>
  <si>
    <t>Horas teóricas</t>
  </si>
  <si>
    <t>Horas prácticas</t>
  </si>
  <si>
    <t>Materia</t>
  </si>
  <si>
    <t>Periodos</t>
  </si>
  <si>
    <t xml:space="preserve">Introducción al manejo de datos en Big Data </t>
  </si>
  <si>
    <t>Visualización y exploración de datos</t>
  </si>
  <si>
    <t xml:space="preserve">Machine Learning </t>
  </si>
  <si>
    <t xml:space="preserve">Interpretación de los resultados y modelos estadísticos </t>
  </si>
  <si>
    <t>2. Foro de discusión sobre problemas de aplicación</t>
  </si>
  <si>
    <t>Primer parcial</t>
  </si>
  <si>
    <t>Segundo parcial</t>
  </si>
  <si>
    <t>Primer final</t>
  </si>
  <si>
    <t>Segundo final</t>
  </si>
  <si>
    <t>Periodo</t>
  </si>
  <si>
    <t>Clase sincrónica</t>
  </si>
  <si>
    <t>Manejo de datos en Big Data – Introducciones conceptuales</t>
  </si>
  <si>
    <t>Exploración y visualización datos en Big Data</t>
  </si>
  <si>
    <t>Machine Learning para Big Data</t>
  </si>
  <si>
    <t>Interpretación de los resultados y modelos estadísticos en Big Data</t>
  </si>
  <si>
    <t>En esta unidad vamos a abordar una introducción a los conceptos fundamentales que determinan el trabajo estadpistico con BigData y al manejo de este tipo de datos usando un software de licencia gratuita como R-project. Abordaremos situaciones como la instalación y configuraciones iniciales del programa, además de los comandos, operadores y funciones básicas</t>
  </si>
  <si>
    <t>En esta unidad vamos a iniciar la gestión y manejo de grandes volúmenes de datos para la lectura, corrección, imputación y preparado de las bases para el análisis estadístico, además de iniciar la exploración de los datos con el cálculo de estadísticas descriptivas y la utilización de gráficas</t>
  </si>
  <si>
    <t>En esta unidad vamos a abordar una introducción a las técnicas de aprendizaje automático o Machine Leanign mediante la creacion de modelos predictivos, la regresión logística, el análisis discriminante y otras técnicas estadísticas.</t>
  </si>
  <si>
    <t>En esta unidad vamos a estudiar la interpretación de los resultados y modelos estadísticos para generar información estadísticas en Big Data</t>
  </si>
  <si>
    <t>Clases sincrónicas</t>
  </si>
  <si>
    <t>1ra Tutoría sincrónica</t>
  </si>
  <si>
    <t>2da Tutoría sincrónica</t>
  </si>
  <si>
    <t>3ra Tutoría sincrónica</t>
  </si>
  <si>
    <t>4ta Tutoría sincrónica</t>
  </si>
  <si>
    <t>5ta Tutoría sincrónica</t>
  </si>
  <si>
    <t>6ta Tutoría sincrónica</t>
  </si>
  <si>
    <t>7ma Tutoría sincrónica</t>
  </si>
  <si>
    <t>3. Desarrollo del cuestionario en línea de la unidad.</t>
  </si>
  <si>
    <t>3. Desarrollo del cuestionario en línea</t>
  </si>
  <si>
    <t>8va Tutoría sincrónica</t>
  </si>
  <si>
    <t>Identificar al menos uno de los programas informáticos que permiten encarar el análisis estadístico del Big Data</t>
  </si>
  <si>
    <t>Identificar los pasos y las herramientas para realizar la recopilación y gestión de datos con las características particulares del Big Data</t>
  </si>
  <si>
    <t>Emplear las técnicas adecuadas para visualizar y explorar el Big Data</t>
  </si>
  <si>
    <t>Identificar y utilizar algunas herramientas para la técnica de aprendizaje automático (Machine Learning)</t>
  </si>
  <si>
    <t>Describir e Interpretar los resultados obtenidos mediante la utilización de las técnicas para el modelado estadístico en Big Data</t>
  </si>
  <si>
    <t>Implementar códigos de programación para ejecutar rutinas relacionadas al tema de la unidad</t>
  </si>
  <si>
    <t>Estimado estudiante, la actividad 1 consiste en estudiar los materiales disponibles en el apartado de Recursos del aula virtual y la actividad 2 consiste en completar una breve actividad de evaluación sobre lo aprendido. 
Para este trabajo pupedes seguir las indicaciones siguientes:
1.	Estudia los contenidos tratados en clase apoyado en los materiales de aprendizaje
2.	Visualiza también los videos tutoriales disponibles.
3.	Responde y resuelve las cuestiones planteadas en el apartado de la actividad 1 de la unidad dentro del aula virtual
4.	El plazo para participar de estas actividades está dado en la tabla</t>
  </si>
  <si>
    <t>Guía Didáctica</t>
  </si>
  <si>
    <t>Índice</t>
  </si>
  <si>
    <t>I. Identificación de la asignatura</t>
  </si>
  <si>
    <t>II. Presentación del curso</t>
  </si>
  <si>
    <t>III. Responsable del curso</t>
  </si>
  <si>
    <t>IV. Objetivos</t>
  </si>
  <si>
    <t>V. Metodología</t>
  </si>
  <si>
    <t>VI. Contenido</t>
  </si>
  <si>
    <t>VII. Cronograma</t>
  </si>
  <si>
    <t>VIII. Actividades para el estudiante</t>
  </si>
  <si>
    <t>IX. Asesoría de apoyo al aprendizaje de los estudiantes</t>
  </si>
  <si>
    <t>X. Evaluación</t>
  </si>
  <si>
    <t>XI. Recomendaciones y consideraciones finales</t>
  </si>
  <si>
    <t>XII. Bibliografía</t>
  </si>
  <si>
    <r>
      <t>1.</t>
    </r>
    <r>
      <rPr>
        <b/>
        <sz val="7"/>
        <color theme="1"/>
        <rFont val="Times New Roman"/>
        <family val="1"/>
      </rPr>
      <t xml:space="preserve">      </t>
    </r>
    <r>
      <rPr>
        <b/>
        <sz val="12"/>
        <color theme="1"/>
        <rFont val="Calibri"/>
        <family val="2"/>
      </rPr>
      <t>Código</t>
    </r>
  </si>
  <si>
    <t>: 10C</t>
  </si>
  <si>
    <r>
      <t>2.</t>
    </r>
    <r>
      <rPr>
        <b/>
        <sz val="7"/>
        <color theme="1"/>
        <rFont val="Times New Roman"/>
        <family val="1"/>
      </rPr>
      <t xml:space="preserve">      </t>
    </r>
    <r>
      <rPr>
        <b/>
        <sz val="12"/>
        <color theme="1"/>
        <rFont val="Calibri"/>
        <family val="2"/>
      </rPr>
      <t>Crédito</t>
    </r>
  </si>
  <si>
    <r>
      <t xml:space="preserve">: </t>
    </r>
    <r>
      <rPr>
        <sz val="12"/>
        <color theme="1"/>
        <rFont val="Calibri"/>
        <family val="2"/>
      </rPr>
      <t>3</t>
    </r>
  </si>
  <si>
    <r>
      <t>3.</t>
    </r>
    <r>
      <rPr>
        <b/>
        <sz val="7"/>
        <color theme="1"/>
        <rFont val="Times New Roman"/>
        <family val="1"/>
      </rPr>
      <t xml:space="preserve">      </t>
    </r>
    <r>
      <rPr>
        <b/>
        <sz val="12"/>
        <color theme="1"/>
        <rFont val="Calibri"/>
        <family val="2"/>
      </rPr>
      <t>Prerrequisitos</t>
    </r>
  </si>
  <si>
    <t>: Álgebra</t>
  </si>
  <si>
    <r>
      <t> </t>
    </r>
    <r>
      <rPr>
        <b/>
        <sz val="16"/>
        <color rgb="FF984806"/>
        <rFont val="Amaranth"/>
      </rPr>
      <t>II. Presentación del curso</t>
    </r>
  </si>
  <si>
    <t>III. Objetivos</t>
  </si>
  <si>
    <t>Objetivo General</t>
  </si>
  <si>
    <t>Objetivos Específicos</t>
  </si>
  <si>
    <t>V. Cronograma</t>
  </si>
  <si>
    <t>Evaluación de Proceso</t>
  </si>
  <si>
    <t>Ponderación</t>
  </si>
  <si>
    <t>Evaluación Final</t>
  </si>
  <si>
    <t>Ponderaciónn</t>
  </si>
  <si>
    <t>Actividad de aprendizaje</t>
  </si>
  <si>
    <t>Envío de tareas a través de la plataforma</t>
  </si>
  <si>
    <t>Evaluación Parcial</t>
  </si>
  <si>
    <t>Total</t>
  </si>
  <si>
    <r>
      <t xml:space="preserve">VII. Actividades para el estudiante
</t>
    </r>
    <r>
      <rPr>
        <sz val="12"/>
        <rFont val="Calibri"/>
        <family val="2"/>
        <scheme val="minor"/>
      </rPr>
      <t xml:space="preserve">En cada unidad de la asignatura el estudiante deberá realizar una o más actividades. Entre ellas se encuentran las Actividades de Aprendizaje (AA), como las tareas para subir archivos (ensayos y resúmenes) o cuestionarios, y las Actividades Interactivas (AI), como una wiki o foros. 
Por otra parte, las Actividades de Fijación (AF) no son sumativas ni obligatorias, pero se hallan vinculadas a las actividades de evaluación y son de gran importancia para la construcción de los aprendizajes.
</t>
    </r>
    <r>
      <rPr>
        <sz val="16"/>
        <rFont val="Amaranth"/>
      </rPr>
      <t xml:space="preserve">
</t>
    </r>
    <r>
      <rPr>
        <sz val="16"/>
        <color theme="5" tint="-0.499984740745262"/>
        <rFont val="Amaranth"/>
      </rPr>
      <t xml:space="preserve">VIII. Asesoría de apoyo al aprendizaje de los estudiantes
</t>
    </r>
    <r>
      <rPr>
        <sz val="16"/>
        <rFont val="Amaranth"/>
      </rPr>
      <t xml:space="preserve">
</t>
    </r>
    <r>
      <rPr>
        <sz val="12"/>
        <rFont val="Calibri"/>
        <family val="2"/>
        <scheme val="minor"/>
      </rPr>
      <t xml:space="preserve">Las asesorías y tutorías se realizarán a través de foros de consultas, que serán habilitados para cada unidad a desarrollarse. Adicionalmente se tendrá una tutoría sincrónica por cada unidad a desarrollarse en las fechas indicadas los días sábado de 18 a 20 horas.  
</t>
    </r>
    <r>
      <rPr>
        <sz val="16"/>
        <rFont val="Amaranth"/>
      </rPr>
      <t xml:space="preserve">
</t>
    </r>
    <r>
      <rPr>
        <sz val="16"/>
        <color theme="5" tint="-0.499984740745262"/>
        <rFont val="Amaranth"/>
      </rPr>
      <t>IX. Evaluación</t>
    </r>
    <r>
      <rPr>
        <sz val="16"/>
        <rFont val="Amaranth"/>
      </rPr>
      <t xml:space="preserve">
</t>
    </r>
    <r>
      <rPr>
        <sz val="12"/>
        <rFont val="Calibri"/>
        <family val="2"/>
        <scheme val="minor"/>
      </rPr>
      <t xml:space="preserve">
La evaluación de la asignatura es continua. Todos los trabajos presentados tendrán un periodo de evaluación por parte de la tutora, quien al finalizarlo hará una devolución escrita con las revisiones y sugerencias. 
Para las evaluaciones del proceso y finales se tendrán en cuenta lo que dicta el Reglamento Académico en su Artículo 15(B): las evaluaciones de proceso tendrán una ponderación de 40% y las evaluaciones finales del 60%; las cuales se detallan a continuación:</t>
    </r>
  </si>
  <si>
    <t>XI. Bibliografía</t>
  </si>
  <si>
    <t>1. dentificar algunos de los programas informáticos que permiten encarar el análisis estadístico del Big Data.
2. Identificar los pasos y las herramientas para realizar la recopilación y gestión de datos con las características particulares del Big Data.
3.Emplear las técnicas adecuadas para visualizar y explorar el Big Data
4. Identificar y utilizar algunas herramientas para la técnica de aprendizaje automático (Machine Learning)
5. Describir e Interpretar los resultados obtenidos mediante la utilización de las técnicas para el modelado estadístico en Big Data.</t>
  </si>
  <si>
    <r>
      <t xml:space="preserve">V. Contenidos
</t>
    </r>
    <r>
      <rPr>
        <sz val="12"/>
        <color rgb="FF984806"/>
        <rFont val="Calibri"/>
        <family val="2"/>
        <scheme val="minor"/>
      </rPr>
      <t xml:space="preserve">
</t>
    </r>
    <r>
      <rPr>
        <b/>
        <sz val="12"/>
        <color rgb="FF984806"/>
        <rFont val="Calibri"/>
        <family val="2"/>
        <scheme val="minor"/>
      </rPr>
      <t>Unidad 1: Manejo de datos en Big Data – Introducciones conceptuales</t>
    </r>
    <r>
      <rPr>
        <sz val="12"/>
        <color rgb="FF984806"/>
        <rFont val="Calibri"/>
        <family val="2"/>
        <scheme val="minor"/>
      </rPr>
      <t xml:space="preserve">
</t>
    </r>
    <r>
      <rPr>
        <sz val="12"/>
        <color theme="1"/>
        <rFont val="Calibri"/>
        <family val="2"/>
        <scheme val="minor"/>
      </rPr>
      <t xml:space="preserve">1. Definición de Big Data
2. Principales características
3. Importancia en la era digital
4. Ejemplos prácticos de aplicación de Big Data
5. Casos de estudio en diversas industrias
6. Soluciones innovadoras a través de Big Data
</t>
    </r>
    <r>
      <rPr>
        <sz val="12"/>
        <color rgb="FF984806"/>
        <rFont val="Calibri"/>
        <family val="2"/>
        <scheme val="minor"/>
      </rPr>
      <t xml:space="preserve">
</t>
    </r>
    <r>
      <rPr>
        <b/>
        <sz val="12"/>
        <color rgb="FF984806"/>
        <rFont val="Calibri"/>
        <family val="2"/>
        <scheme val="minor"/>
      </rPr>
      <t>Unidad 2: Visualización y exploración de datos con R</t>
    </r>
    <r>
      <rPr>
        <sz val="12"/>
        <color rgb="FF984806"/>
        <rFont val="Calibri"/>
        <family val="2"/>
        <scheme val="minor"/>
      </rPr>
      <t xml:space="preserve">
</t>
    </r>
    <r>
      <rPr>
        <sz val="12"/>
        <color theme="1"/>
        <rFont val="Calibri"/>
        <family val="2"/>
        <scheme val="minor"/>
      </rPr>
      <t xml:space="preserve">1. Binarización de variables cualitativas 
2. Selección de predictores 
3. Tipo de variables y distribución 
4. Distribución de variables de respuesta discreta 
5. Exploración de datos 
6. División de los datos en entrenamiento y test 
7. Preprocesado de los datos 
8. Imputación de valores ausentes 
9. Variables con varianza a cero 
10. Estandarización y escalado 
11. Árbol de clasificación simple 
12. Random Forest 
</t>
    </r>
    <r>
      <rPr>
        <sz val="12"/>
        <color rgb="FF984806"/>
        <rFont val="Calibri"/>
        <family val="2"/>
        <scheme val="minor"/>
      </rPr>
      <t xml:space="preserve">
</t>
    </r>
    <r>
      <rPr>
        <b/>
        <sz val="12"/>
        <color rgb="FF984806"/>
        <rFont val="Calibri"/>
        <family val="2"/>
        <scheme val="minor"/>
      </rPr>
      <t>Unidad 3: Machine Learning con R</t>
    </r>
    <r>
      <rPr>
        <sz val="12"/>
        <color rgb="FF984806"/>
        <rFont val="Calibri"/>
        <family val="2"/>
        <scheme val="minor"/>
      </rPr>
      <t xml:space="preserve">
</t>
    </r>
    <r>
      <rPr>
        <sz val="12"/>
        <color theme="1"/>
        <rFont val="Calibri"/>
        <family val="2"/>
        <scheme val="minor"/>
      </rPr>
      <t xml:space="preserve">1. Creación de modelo predictivo
2. K-Nearest Neighbor (KNN) 
3. Naive Bayes 
4. Regresión Logística 
</t>
    </r>
    <r>
      <rPr>
        <sz val="12"/>
        <color rgb="FF984806"/>
        <rFont val="Calibri"/>
        <family val="2"/>
        <scheme val="minor"/>
      </rPr>
      <t xml:space="preserve">
</t>
    </r>
    <r>
      <rPr>
        <b/>
        <sz val="12"/>
        <color rgb="FF984806"/>
        <rFont val="Calibri"/>
        <family val="2"/>
        <scheme val="minor"/>
      </rPr>
      <t>Unidad 4: Interpretación de los resultados y modelos estadísticos obtenidos con R</t>
    </r>
    <r>
      <rPr>
        <sz val="12"/>
        <color rgb="FF984806"/>
        <rFont val="Calibri"/>
        <family val="2"/>
        <scheme val="minor"/>
      </rPr>
      <t xml:space="preserve">
</t>
    </r>
    <r>
      <rPr>
        <sz val="12"/>
        <color theme="1"/>
        <rFont val="Calibri"/>
        <family val="2"/>
        <scheme val="minor"/>
      </rPr>
      <t xml:space="preserve">1. Análisis Discriminante Lineal (LDA) 
2. Support Vector Machine 
3. Redes Neuronales (NNET) 
4. Gradient Boosting 
5. Interpretación y selección de resultados y los modelos para generar información estadística en Big Data 
</t>
    </r>
  </si>
  <si>
    <t>es-es/excel</t>
  </si>
  <si>
    <t>2009.</t>
  </si>
  <si>
    <t>Ahumada, J. A. (2003). R. para principiantes. University of Hawaii, 2003.</t>
  </si>
  <si>
    <t>Van Rossum, G., Drake, F. L. (2009). Python 3 Reference Manual. Scotts Valley, CA: CreateSpace,</t>
  </si>
  <si>
    <t>Las calificaciones finales se regirán por la siguiente escala:</t>
  </si>
  <si>
    <t>Reprobado</t>
  </si>
  <si>
    <t xml:space="preserve"> 1%  - 59%</t>
  </si>
  <si>
    <t>1(Uno)</t>
  </si>
  <si>
    <t>Insuficiente</t>
  </si>
  <si>
    <t>Aprobado</t>
  </si>
  <si>
    <t>60% - 70%</t>
  </si>
  <si>
    <t>2(dos)</t>
  </si>
  <si>
    <t>Aceptable</t>
  </si>
  <si>
    <t>71% - 80%</t>
  </si>
  <si>
    <t>3(tres)</t>
  </si>
  <si>
    <t>Bueno</t>
  </si>
  <si>
    <t>81% - 90%</t>
  </si>
  <si>
    <t>4(cuatro)</t>
  </si>
  <si>
    <t>Distinguido</t>
  </si>
  <si>
    <t>91% - 100%</t>
  </si>
  <si>
    <t>5(cinco)</t>
  </si>
  <si>
    <t>Sobresaliente</t>
  </si>
  <si>
    <t>Según el artículo 46 del mencionado reglamento, se calificará con notas numéricas del 1 al 5, conforme a lo establecido en el artículo 183 del Estatuto de la Universidad Nacional de Asunción.</t>
  </si>
  <si>
    <t>La aprobación de una asignatura implica un rendimiento promedio mínimo de 60% (sesenta por ciento) de la suma de la evaluación de proceso y la evaluación final.</t>
  </si>
  <si>
    <t>El Reglamento Académico también establece en su artículo 23 la cantidad mínima de dos Evaluaciones Parciales y una Evaluación Parcial Recuperatoria, por periodo académico, conforme a lo establecido en el Calendario Académico. Más información sobre la Evaluación Parcial Recuperatoria se puede obtener recurriendo al Reglamento Académico que se encuentra disponible en el aula de Coordinación de la carrera.</t>
  </si>
  <si>
    <t>Participación en las actividades colaborativas</t>
  </si>
  <si>
    <t>Microsoft. Ayuda y formación de Excel. Microsoft Excel, 2022. https://support.microsoft.com/</t>
  </si>
  <si>
    <r>
      <t xml:space="preserve">
El Big Data es una forma de aplicar la ciencia de datos, específicamente cuando se requiere explorar grandes cantidades de datos que son generados continuamente y con gran velocidad al interior de las empresas o instituciones. 
Estos datos presentan características particulares que impiden su análisis con las técnicas tradicionales, y es así como surgen y evolucionan las nuevas técnicas, entre ellas las conocidas como</t>
    </r>
    <r>
      <rPr>
        <b/>
        <sz val="12"/>
        <color theme="1"/>
        <rFont val="Calibri"/>
        <family val="2"/>
        <scheme val="minor"/>
      </rPr>
      <t xml:space="preserve"> Analítica de Big Data</t>
    </r>
    <r>
      <rPr>
        <sz val="12"/>
        <color theme="1"/>
        <rFont val="Calibri"/>
        <family val="2"/>
        <scheme val="minor"/>
      </rPr>
      <t>. 
Estas técnicas proporcionan una manera de acceder, gestionar y analizar estos datos atendiendo sus particularidades, de modo a encontrar patrones, relaciones y verificar algunas presunciones al respecto de ellas. 
Atendiendo al vertiginoso ritmo en la generación de datos que las tecnologías actuales permiten a las empresas e instituciones, y la interrelación entre ellas, resulta necesario y sumamente importante el desarrollo de este curso, de modo
 a apoyar el aprendizaje en las técnicas en ciencias de datos que dan respuesta a las tendencias y las necesidades que surgen en la gestión de información, debido a estos cambios y avances tecnológicos. Fortaleciendo y fomentando de esta 
manera nuevos campos de investigación dentro y fuera de la universidad, además de proporcionar a los egresados las herramientas básicas que les permitirán encarar los verdaderos desafíos que encontrarán al momento de incorporarse en
 el mundo de trabajo relacionado a la estadística y la ciencia de datos.</t>
    </r>
  </si>
  <si>
    <r>
      <t>Otorgar a los participantes conocimientos para la gestión y el análisis estadístico de grandes volúmenes de datos o</t>
    </r>
    <r>
      <rPr>
        <b/>
        <sz val="11"/>
        <color theme="1"/>
        <rFont val="Calibri"/>
        <family val="2"/>
        <scheme val="minor"/>
      </rPr>
      <t xml:space="preserve"> BIG DATA</t>
    </r>
    <r>
      <rPr>
        <sz val="11"/>
        <color theme="1"/>
        <rFont val="Calibri"/>
        <family val="2"/>
        <scheme val="minor"/>
      </rPr>
      <t>, mediante las herramientas brindadas por el software open sourse como R.</t>
    </r>
  </si>
  <si>
    <r>
      <rPr>
        <b/>
        <sz val="12"/>
        <color rgb="FFC00000"/>
        <rFont val="Calibri"/>
        <family val="2"/>
        <scheme val="minor"/>
      </rPr>
      <t>IV. Metodología</t>
    </r>
    <r>
      <rPr>
        <sz val="11"/>
        <color theme="1"/>
        <rFont val="Calibri"/>
        <family val="2"/>
        <scheme val="minor"/>
      </rPr>
      <t xml:space="preserve">
</t>
    </r>
    <r>
      <rPr>
        <sz val="12"/>
        <color theme="1"/>
        <rFont val="Calibri"/>
        <family val="2"/>
        <scheme val="minor"/>
      </rPr>
      <t xml:space="preserve">
La asignatura se desarrollará en la modalidad semipresencial, la cual implica la combinación de actividades presenciales, tales como los encuentros con el tutor y los exámenes finales, y no presenciales a través de 
la plataforma virtual Moodle. Se utilizarán las herramientas ofrecidas por la plataforma: foros, cuestionarios, tareas, etc. Las tutorías serán virtuales como presenciales. 
El ingreso a la plataforma se realiza con el usuario y contraseña que tendrá cada estudiante. Se puede ingresar a la plataforma desde cualquier computadora con acceso a Internet, para lo cual se recomienda utilizar el navegador Mozilla Firefox.
Las unidades de la asignatura se habilitarán gradualmente y, al inicio de cada una, se encontrará una bienvenida y los detalles de los pasos a seguir para el cumplimiento de los objetivos. Cada unidad tendrá Orientaciones donde estará de forma 
detallada todo lo que se desarrollará en la misma. Además, en dichas orientaciones se especificarán las actividades y los plazos para la realización de estas. 
Para poder cumplir con todo lo planificado para este semestre, es responsabilidad de cada estudiante ingresar por lo menos cada dos días y tomar nota de las novedades, las asignaciones que debe realizar y los plazos máximos de entrega de 
las distintas tareas. 
El tutor virtual estará guiando constantemente los trabajos individuales y grupales para la profundización de los nuevos conceptos aprendidos, apoyando a los estudiantes en el uso de la plataforma y respondiendo a las consultas que se 
consideren necesarias, además de retroalimentar constantemente a los participantes sobre sus avances y dar recomendaciones acordes a lo que la situación requiera.</t>
    </r>
  </si>
  <si>
    <r>
      <t xml:space="preserve">Además de los objetivos específicos establecidos para cada actividad o asignación, se tendrán en cuenta en las evaluaciones los siguientes aspectos:
Participación en foros y actividades grupales. Calidad, pertinencia y cantidad de las participaciones. Con respecto a los foros, específicamente, es bueno tener en cuenta que son espacios de construcción colectiva, de interacción con los compañeros participantes, con los pares. No se escribe en ellos para el profesor, sino para el análisis y la reflexión grupal. Por lo tanto, las participaciones en los foros de debate e intercambio se publican exclusivamente en los foros. Por ninguna causa se aceptarán ni tendrán en cuenta participaciones enviadas por mail al docente luego del cierre de los foros. 
Disposición a colaborar con los otros compañeros.
- Redacción, claridad de expresión, coherencia.
- Ortografía y gramática, respeto por las normativas del idioma.
- Uso correcto de las herramientas de comunicación: mensajería de la plataforma, correo electrónico, foro, chat, etc.
Cada actividad tendrá un tiempo límite para su cumplimiento y/o presentación. Luego de ese tiempo sólo se darán tres días más para que se realicen entregas. Si las mismas no se realizan en este tiempo se tendrá la puntuación 0 en esa actividad.
Una vez que hayas presentado una tarea, la tutora realizará la devolución de esta corregida en un tiempo de no más de diez días hábiles. 
</t>
    </r>
    <r>
      <rPr>
        <b/>
        <sz val="12"/>
        <color rgb="FFC00000"/>
        <rFont val="Calibri"/>
        <family val="2"/>
        <scheme val="minor"/>
      </rPr>
      <t xml:space="preserve"> X. Recomendaciones y consideraciones finales</t>
    </r>
    <r>
      <rPr>
        <sz val="11"/>
        <color theme="1"/>
        <rFont val="Calibri"/>
        <family val="2"/>
        <scheme val="minor"/>
      </rPr>
      <t xml:space="preserve">
La modalidad a distancia, si bien tiene la ventaja de la flexibilidad, requiere de un gran esfuerzo del estudiante, principalmente de su organización, en el caso de esta asignatura la dedicación semanal mínima de 5 horas. 
Además, se debe prestar mucha atención a las indicaciones y condiciones de entrega de tareas, realizar la lectura de materiales de manera reflexiva y valorar cada experiencia de aprendizaje. 
El fracaso en las actividades de evaluación del aprendizaje se debe, en gran parte, a deficiencias de fijación. Por ello, las Actividades de Fijación (AF) deben merecer la máxima atención. El desarrollo de estas favorece el logro de las actividades sumativas.</t>
    </r>
  </si>
  <si>
    <t>Fecha</t>
  </si>
  <si>
    <t>Horario</t>
  </si>
  <si>
    <t>Tutoría sincrónica</t>
  </si>
  <si>
    <t>1ra</t>
  </si>
  <si>
    <t>2da</t>
  </si>
  <si>
    <t>3ra</t>
  </si>
  <si>
    <t>4ta</t>
  </si>
  <si>
    <t>5ta</t>
  </si>
  <si>
    <t>6ta</t>
  </si>
  <si>
    <t>7ma</t>
  </si>
  <si>
    <t>8va</t>
  </si>
  <si>
    <t>enlace</t>
  </si>
  <si>
    <t>https://meet.google.com/moz-njfj-pey</t>
  </si>
  <si>
    <t>9na Tutoría sincrónica</t>
  </si>
  <si>
    <t>10ma Tutoría sincrónica</t>
  </si>
  <si>
    <t>9na</t>
  </si>
  <si>
    <t>10ma</t>
  </si>
  <si>
    <t>Descripcion de la actividad</t>
  </si>
  <si>
    <t>Objetivo de la actividad</t>
  </si>
  <si>
    <t>Objetivo de la unidad</t>
  </si>
  <si>
    <t>nombresyapellidos_profesor</t>
  </si>
  <si>
    <t>Diego Bernardo Meza Bogado</t>
  </si>
  <si>
    <t>Resumen CV_profesor</t>
  </si>
  <si>
    <t>Analizar y comunicar resultados de modelos estadísticos aplicados a Big Data.</t>
  </si>
  <si>
    <t>Comprender técnicas de visualización y análisis exploratorio.</t>
  </si>
  <si>
    <t>Implementar modelos predictivos utilizando algoritmos de Machine Learning.</t>
  </si>
  <si>
    <t>Integrar y aplicar los conocimientos adquiridos a través de un trabajo final.</t>
  </si>
  <si>
    <t>Concocer los orígenes y principales caracteristicas del manejo de datos en BigData</t>
  </si>
  <si>
    <t>Orígen e Introducciones conceptuales a la Analítica de Big Data</t>
  </si>
  <si>
    <t>Instalación y configuración de R y Rstudio</t>
  </si>
  <si>
    <t>Librerías de R para big data, carga y procesamiento</t>
  </si>
  <si>
    <t>Operacione básicas y gráficos</t>
  </si>
  <si>
    <t xml:space="preserve">Binarización de variables cualitativas. División de los datos en entrenamiento y test </t>
  </si>
  <si>
    <t>Técnicas de imputación, estandarización y escalado</t>
  </si>
  <si>
    <t>Interpretación y selección de resultados y los modelos para generar información estadísticas en Big Data 1</t>
  </si>
  <si>
    <t>Desarrollo de proyecto de investigación final</t>
  </si>
  <si>
    <t xml:space="preserve">Analisis Discriminante Lineal (LDA) </t>
  </si>
  <si>
    <t>Contenidos</t>
  </si>
  <si>
    <t>Regresión Logística</t>
  </si>
  <si>
    <t>K-Nearest Neighbor (KNN)</t>
  </si>
  <si>
    <t>Creación de modelo predictivo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</si>
</sst>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40" x14ac:knownFonts="1">
    <font>
      <sz val="11"/>
      <color theme="1"/>
      <name val="Calibri"/>
      <family val="2"/>
      <scheme val="minor"/>
    </font>
    <font>
      <b/>
      <sz val="11"/>
      <color theme="1"/>
      <name val="Calibri"/>
      <family val="2"/>
      <scheme val="minor"/>
    </font>
    <font>
      <sz val="8"/>
      <color theme="1"/>
      <name val="Calibri"/>
      <family val="2"/>
      <scheme val="minor"/>
    </font>
    <font>
      <sz val="8"/>
      <name val="Calibri"/>
      <family val="2"/>
      <scheme val="minor"/>
    </font>
    <font>
      <sz val="11"/>
      <color theme="1"/>
      <name val="Calibri"/>
      <family val="2"/>
      <scheme val="minor"/>
    </font>
    <font>
      <sz val="11"/>
      <color theme="0"/>
      <name val="Calibri"/>
      <family val="2"/>
      <scheme val="minor"/>
    </font>
    <font>
      <b/>
      <sz val="8"/>
      <color theme="1"/>
      <name val="Calibri"/>
      <family val="2"/>
      <scheme val="minor"/>
    </font>
    <font>
      <b/>
      <sz val="16"/>
      <color rgb="FF984806"/>
      <name val="Amaranth"/>
    </font>
    <font>
      <sz val="14"/>
      <color rgb="FF984806"/>
      <name val="Amaranth"/>
    </font>
    <font>
      <sz val="12"/>
      <color rgb="FF000000"/>
      <name val="Calibri"/>
      <family val="2"/>
      <scheme val="minor"/>
    </font>
    <font>
      <b/>
      <sz val="11"/>
      <color rgb="FF000000"/>
      <name val="Gill Sans MT"/>
      <family val="2"/>
    </font>
    <font>
      <sz val="11"/>
      <color theme="1"/>
      <name val="Gill Sans MT"/>
      <family val="2"/>
    </font>
    <font>
      <b/>
      <sz val="14"/>
      <color rgb="FF984806"/>
      <name val="Amaranth"/>
    </font>
    <font>
      <sz val="10"/>
      <color theme="1"/>
      <name val="Calibri"/>
      <family val="2"/>
      <scheme val="minor"/>
    </font>
    <font>
      <b/>
      <sz val="9"/>
      <color rgb="FF000000"/>
      <name val="Gill Sans MT"/>
      <family val="2"/>
    </font>
    <font>
      <sz val="9"/>
      <color theme="1"/>
      <name val="Calibri"/>
      <family val="2"/>
      <scheme val="minor"/>
    </font>
    <font>
      <b/>
      <sz val="26"/>
      <color theme="1"/>
      <name val="Amaranth"/>
    </font>
    <font>
      <b/>
      <sz val="36"/>
      <color theme="0" tint="-0.499984740745262"/>
      <name val="Amaranth"/>
    </font>
    <font>
      <sz val="28"/>
      <color theme="0" tint="-0.499984740745262"/>
      <name val="Amaranth"/>
    </font>
    <font>
      <sz val="26"/>
      <color theme="1"/>
      <name val="Amaranth"/>
    </font>
    <font>
      <b/>
      <sz val="16"/>
      <color theme="5" tint="-0.249977111117893"/>
      <name val="Amaranth"/>
    </font>
    <font>
      <b/>
      <sz val="12"/>
      <color theme="1"/>
      <name val="Calibri"/>
      <family val="2"/>
    </font>
    <font>
      <b/>
      <sz val="7"/>
      <color theme="1"/>
      <name val="Times New Roman"/>
      <family val="1"/>
    </font>
    <font>
      <sz val="12"/>
      <color theme="1"/>
      <name val="Calibri"/>
      <family val="2"/>
    </font>
    <font>
      <b/>
      <sz val="16"/>
      <color rgb="FF984806"/>
      <name val="Calibri"/>
      <family val="2"/>
    </font>
    <font>
      <sz val="12"/>
      <color theme="1"/>
      <name val="Calibri"/>
      <family val="2"/>
      <scheme val="minor"/>
    </font>
    <font>
      <sz val="16"/>
      <color theme="5" tint="-0.499984740745262"/>
      <name val="Amaranth"/>
    </font>
    <font>
      <sz val="16"/>
      <name val="Amaranth"/>
    </font>
    <font>
      <sz val="12"/>
      <name val="Calibri"/>
      <family val="2"/>
      <scheme val="minor"/>
    </font>
    <font>
      <b/>
      <sz val="11"/>
      <color theme="5" tint="-0.499984740745262"/>
      <name val="Calibri"/>
      <family val="2"/>
      <scheme val="minor"/>
    </font>
    <font>
      <b/>
      <sz val="14"/>
      <color theme="5" tint="-0.499984740745262"/>
      <name val="Calibri"/>
      <family val="2"/>
      <scheme val="minor"/>
    </font>
    <font>
      <sz val="12"/>
      <color rgb="FF984806"/>
      <name val="Calibri"/>
      <family val="2"/>
      <scheme val="minor"/>
    </font>
    <font>
      <b/>
      <sz val="12"/>
      <color rgb="FF984806"/>
      <name val="Calibri"/>
      <family val="2"/>
      <scheme val="minor"/>
    </font>
    <font>
      <b/>
      <sz val="12"/>
      <color theme="1"/>
      <name val="Calibri"/>
      <family val="2"/>
      <scheme val="minor"/>
    </font>
    <font>
      <b/>
      <sz val="12"/>
      <color rgb="FFC00000"/>
      <name val="Calibri"/>
      <family val="2"/>
      <scheme val="minor"/>
    </font>
    <font>
      <b/>
      <sz val="11"/>
      <color theme="0"/>
      <name val="Calibri"/>
      <family val="2"/>
      <scheme val="minor"/>
    </font>
    <font>
      <u/>
      <sz val="11"/>
      <color theme="10"/>
      <name val="Calibri"/>
      <family val="2"/>
      <scheme val="minor"/>
    </font>
    <font>
      <b/>
      <sz val="8"/>
      <color theme="0"/>
      <name val="Calibri"/>
      <family val="2"/>
      <scheme val="minor"/>
    </font>
    <font>
      <sz val="8"/>
      <color theme="0"/>
      <name val="Calibri"/>
      <family val="2"/>
      <scheme val="minor"/>
    </font>
    <font>
      <b/>
      <sz val="8"/>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rgb="FFFCE4D6"/>
        <bgColor indexed="64"/>
      </patternFill>
    </fill>
    <fill>
      <patternFill patternType="solid">
        <fgColor theme="5" tint="0.59999389629810485"/>
        <bgColor indexed="64"/>
      </patternFill>
    </fill>
    <fill>
      <patternFill patternType="solid">
        <fgColor theme="5" tint="-0.499984740745262"/>
        <bgColor indexed="64"/>
      </patternFill>
    </fill>
    <fill>
      <patternFill patternType="solid">
        <fgColor theme="1" tint="0.34998626667073579"/>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ED7D31"/>
      </left>
      <right/>
      <top style="medium">
        <color rgb="FFED7D31"/>
      </top>
      <bottom style="medium">
        <color rgb="FFED7D31"/>
      </bottom>
      <diagonal/>
    </border>
    <border>
      <left/>
      <right/>
      <top/>
      <bottom style="medium">
        <color rgb="FFFFFFFF"/>
      </bottom>
      <diagonal/>
    </border>
    <border>
      <left/>
      <right/>
      <top style="medium">
        <color rgb="FFED7D31"/>
      </top>
      <bottom style="medium">
        <color rgb="FFED7D31"/>
      </bottom>
      <diagonal/>
    </border>
    <border>
      <left/>
      <right/>
      <top/>
      <bottom style="medium">
        <color rgb="FFFCE4D6"/>
      </bottom>
      <diagonal/>
    </border>
    <border>
      <left/>
      <right/>
      <top style="medium">
        <color rgb="FFFCE4D6"/>
      </top>
      <bottom style="medium">
        <color rgb="FFFCE4D6"/>
      </bottom>
      <diagonal/>
    </border>
    <border>
      <left/>
      <right/>
      <top style="medium">
        <color rgb="FFED7D31"/>
      </top>
      <bottom/>
      <diagonal/>
    </border>
    <border>
      <left/>
      <right/>
      <top style="medium">
        <color rgb="FFFFFFFF"/>
      </top>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medium">
        <color rgb="FFED7D31"/>
      </top>
      <bottom style="medium">
        <color rgb="FFFCE4D6"/>
      </bottom>
      <diagonal/>
    </border>
    <border>
      <left style="thin">
        <color theme="0"/>
      </left>
      <right style="thin">
        <color theme="0"/>
      </right>
      <top style="thin">
        <color theme="0"/>
      </top>
      <bottom style="thin">
        <color theme="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style="thin">
        <color theme="0"/>
      </right>
      <top style="thin">
        <color theme="0"/>
      </top>
      <bottom/>
      <diagonal/>
    </border>
    <border>
      <left style="thin">
        <color theme="0"/>
      </left>
      <right style="medium">
        <color indexed="64"/>
      </right>
      <top style="thin">
        <color theme="0"/>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s>
  <cellStyleXfs count="3">
    <xf numFmtId="0" fontId="0" fillId="0" borderId="0"/>
    <xf numFmtId="164" fontId="4" fillId="0" borderId="0" applyFont="0" applyFill="0" applyBorder="0" applyAlignment="0" applyProtection="0"/>
    <xf numFmtId="0" fontId="36" fillId="0" borderId="0" applyNumberFormat="0" applyFill="0" applyBorder="0" applyAlignment="0" applyProtection="0"/>
  </cellStyleXfs>
  <cellXfs count="123">
    <xf numFmtId="0" fontId="0" fillId="0" borderId="0" xfId="0"/>
    <xf numFmtId="0" fontId="2" fillId="0" borderId="0" xfId="0" applyFont="1"/>
    <xf numFmtId="0" fontId="1" fillId="0" borderId="0" xfId="0" applyFont="1"/>
    <xf numFmtId="49" fontId="0" fillId="0" borderId="0" xfId="0" applyNumberFormat="1"/>
    <xf numFmtId="0" fontId="6" fillId="0" borderId="0" xfId="0" applyFont="1"/>
    <xf numFmtId="15" fontId="2" fillId="0" borderId="0" xfId="0" applyNumberFormat="1" applyFont="1"/>
    <xf numFmtId="0" fontId="6" fillId="2" borderId="0" xfId="0" applyFont="1" applyFill="1"/>
    <xf numFmtId="0" fontId="10" fillId="0" borderId="9" xfId="0" applyFont="1" applyBorder="1" applyAlignment="1">
      <alignment vertical="center"/>
    </xf>
    <xf numFmtId="0" fontId="10" fillId="3" borderId="10" xfId="0" applyFont="1" applyFill="1" applyBorder="1" applyAlignment="1">
      <alignment horizontal="right" vertical="center"/>
    </xf>
    <xf numFmtId="0" fontId="10" fillId="0" borderId="11" xfId="0" applyFont="1" applyBorder="1" applyAlignment="1">
      <alignment vertical="center"/>
    </xf>
    <xf numFmtId="0" fontId="10" fillId="3" borderId="0" xfId="0" applyFont="1" applyFill="1" applyAlignment="1">
      <alignment horizontal="right" vertical="center"/>
    </xf>
    <xf numFmtId="14" fontId="11" fillId="0" borderId="12" xfId="0" applyNumberFormat="1" applyFont="1" applyBorder="1" applyAlignment="1">
      <alignment horizontal="left" vertical="center"/>
    </xf>
    <xf numFmtId="14" fontId="11" fillId="0" borderId="12" xfId="0" applyNumberFormat="1" applyFont="1" applyBorder="1" applyAlignment="1">
      <alignment horizontal="center" vertical="center"/>
    </xf>
    <xf numFmtId="164" fontId="11" fillId="0" borderId="12" xfId="1" applyFont="1" applyBorder="1" applyAlignment="1">
      <alignment vertical="center"/>
    </xf>
    <xf numFmtId="164" fontId="11" fillId="0" borderId="0" xfId="1" applyFont="1" applyBorder="1" applyAlignment="1">
      <alignment vertical="center"/>
    </xf>
    <xf numFmtId="0" fontId="12" fillId="0" borderId="0" xfId="0" applyFont="1" applyAlignment="1">
      <alignment horizontal="center" vertical="center"/>
    </xf>
    <xf numFmtId="0" fontId="5" fillId="0" borderId="0" xfId="0" applyFont="1"/>
    <xf numFmtId="0" fontId="0" fillId="0" borderId="0" xfId="0" applyAlignment="1">
      <alignment horizontal="left" vertical="top" wrapText="1"/>
    </xf>
    <xf numFmtId="14" fontId="13" fillId="0" borderId="12" xfId="0" applyNumberFormat="1" applyFont="1" applyBorder="1" applyAlignment="1">
      <alignment horizontal="left" vertical="center"/>
    </xf>
    <xf numFmtId="0" fontId="1" fillId="0" borderId="16" xfId="0" applyFont="1" applyBorder="1"/>
    <xf numFmtId="0" fontId="2" fillId="0" borderId="17" xfId="0" applyFont="1" applyBorder="1"/>
    <xf numFmtId="0" fontId="2" fillId="0" borderId="0" xfId="0" applyFont="1" applyAlignment="1">
      <alignment vertical="center"/>
    </xf>
    <xf numFmtId="0" fontId="6" fillId="0" borderId="0" xfId="0" applyFont="1" applyAlignment="1">
      <alignment vertical="center" wrapText="1"/>
    </xf>
    <xf numFmtId="0" fontId="2" fillId="0" borderId="0" xfId="0" applyFont="1" applyAlignment="1">
      <alignment vertical="center" wrapText="1"/>
    </xf>
    <xf numFmtId="15" fontId="2" fillId="0" borderId="0" xfId="0" applyNumberFormat="1" applyFont="1" applyAlignment="1">
      <alignment vertical="center" textRotation="90"/>
    </xf>
    <xf numFmtId="15" fontId="2" fillId="0" borderId="17" xfId="0" applyNumberFormat="1" applyFont="1" applyBorder="1" applyAlignment="1">
      <alignment vertical="center" textRotation="90"/>
    </xf>
    <xf numFmtId="0" fontId="14" fillId="0" borderId="9" xfId="0" applyFont="1" applyBorder="1" applyAlignment="1">
      <alignment horizontal="center" vertical="center" wrapText="1"/>
    </xf>
    <xf numFmtId="14" fontId="15" fillId="0" borderId="12" xfId="0" applyNumberFormat="1" applyFont="1" applyBorder="1" applyAlignment="1">
      <alignment horizontal="left" vertical="center"/>
    </xf>
    <xf numFmtId="14" fontId="15" fillId="0" borderId="12" xfId="0" applyNumberFormat="1" applyFont="1" applyBorder="1" applyAlignment="1">
      <alignment horizontal="right" vertical="center"/>
    </xf>
    <xf numFmtId="1" fontId="15" fillId="0" borderId="12" xfId="0" applyNumberFormat="1" applyFont="1" applyBorder="1" applyAlignment="1">
      <alignment horizontal="right" vertical="center"/>
    </xf>
    <xf numFmtId="0" fontId="16" fillId="0" borderId="0" xfId="0" applyFont="1"/>
    <xf numFmtId="0" fontId="17" fillId="0" borderId="0" xfId="0" applyFont="1"/>
    <xf numFmtId="0" fontId="18" fillId="0" borderId="0" xfId="0" applyFont="1"/>
    <xf numFmtId="0" fontId="19" fillId="0" borderId="0" xfId="0" applyFont="1"/>
    <xf numFmtId="0" fontId="0" fillId="0" borderId="0" xfId="0" applyAlignment="1">
      <alignment vertical="center"/>
    </xf>
    <xf numFmtId="0" fontId="7" fillId="0" borderId="0" xfId="0" applyFont="1" applyAlignment="1">
      <alignment vertical="center"/>
    </xf>
    <xf numFmtId="0" fontId="23" fillId="0" borderId="0" xfId="0" applyFont="1" applyAlignment="1">
      <alignment horizontal="left" vertical="center" indent="15"/>
    </xf>
    <xf numFmtId="0" fontId="24" fillId="0" borderId="0" xfId="0" applyFont="1" applyAlignment="1">
      <alignment vertical="center"/>
    </xf>
    <xf numFmtId="0" fontId="23" fillId="0" borderId="0" xfId="0" applyFont="1" applyAlignment="1">
      <alignment horizontal="justify" vertical="center"/>
    </xf>
    <xf numFmtId="0" fontId="25" fillId="0" borderId="0" xfId="0" applyFont="1" applyAlignment="1">
      <alignment horizontal="left" vertical="center" indent="5"/>
    </xf>
    <xf numFmtId="0" fontId="26" fillId="0" borderId="0" xfId="0" applyFont="1"/>
    <xf numFmtId="0" fontId="0" fillId="0" borderId="0" xfId="0" applyAlignment="1">
      <alignment vertical="top"/>
    </xf>
    <xf numFmtId="0" fontId="29" fillId="0" borderId="0" xfId="0" applyFont="1"/>
    <xf numFmtId="0" fontId="30" fillId="0" borderId="0" xfId="0" applyFont="1" applyAlignment="1">
      <alignment horizontal="left" vertical="center" indent="5"/>
    </xf>
    <xf numFmtId="0" fontId="25" fillId="0" borderId="0" xfId="0" applyFont="1" applyAlignment="1">
      <alignment vertical="top" wrapText="1"/>
    </xf>
    <xf numFmtId="0" fontId="7" fillId="0" borderId="0" xfId="0" applyFont="1" applyAlignment="1">
      <alignment vertical="top" wrapText="1"/>
    </xf>
    <xf numFmtId="0" fontId="0" fillId="0" borderId="23" xfId="0" applyBorder="1"/>
    <xf numFmtId="0" fontId="0" fillId="0" borderId="24" xfId="0" applyBorder="1"/>
    <xf numFmtId="0" fontId="0" fillId="0" borderId="25" xfId="0" applyBorder="1" applyAlignment="1">
      <alignment vertical="top"/>
    </xf>
    <xf numFmtId="0" fontId="0" fillId="0" borderId="26" xfId="0" applyBorder="1" applyAlignment="1">
      <alignment vertical="top"/>
    </xf>
    <xf numFmtId="0" fontId="0" fillId="0" borderId="26" xfId="0" applyBorder="1"/>
    <xf numFmtId="0" fontId="0" fillId="0" borderId="27" xfId="0" applyBorder="1"/>
    <xf numFmtId="0" fontId="0" fillId="0" borderId="25" xfId="0" applyBorder="1"/>
    <xf numFmtId="0" fontId="35" fillId="5" borderId="21" xfId="0" applyFont="1" applyFill="1" applyBorder="1"/>
    <xf numFmtId="0" fontId="5" fillId="5" borderId="21" xfId="0" applyFont="1" applyFill="1" applyBorder="1"/>
    <xf numFmtId="0" fontId="5" fillId="5" borderId="22" xfId="0" applyFont="1" applyFill="1" applyBorder="1"/>
    <xf numFmtId="0" fontId="35" fillId="5" borderId="20" xfId="0" applyFont="1" applyFill="1" applyBorder="1"/>
    <xf numFmtId="0" fontId="5" fillId="5" borderId="20" xfId="0" applyFont="1" applyFill="1" applyBorder="1"/>
    <xf numFmtId="14" fontId="2" fillId="0" borderId="0" xfId="0" applyNumberFormat="1" applyFont="1"/>
    <xf numFmtId="0" fontId="36" fillId="0" borderId="0" xfId="2"/>
    <xf numFmtId="14" fontId="13" fillId="0" borderId="0" xfId="0" applyNumberFormat="1" applyFont="1" applyAlignment="1">
      <alignment horizontal="left" vertical="center"/>
    </xf>
    <xf numFmtId="0" fontId="37" fillId="6" borderId="0" xfId="0" applyFont="1" applyFill="1"/>
    <xf numFmtId="0" fontId="38" fillId="6" borderId="0" xfId="0" applyFont="1" applyFill="1"/>
    <xf numFmtId="0" fontId="38" fillId="6" borderId="1" xfId="0" applyFont="1" applyFill="1" applyBorder="1"/>
    <xf numFmtId="0" fontId="37" fillId="6" borderId="4" xfId="0" applyFont="1" applyFill="1" applyBorder="1"/>
    <xf numFmtId="0" fontId="37" fillId="6" borderId="6" xfId="0" applyFont="1" applyFill="1" applyBorder="1"/>
    <xf numFmtId="0" fontId="38" fillId="6" borderId="0" xfId="0" applyFont="1" applyFill="1" applyAlignment="1">
      <alignment vertical="center"/>
    </xf>
    <xf numFmtId="0" fontId="3" fillId="0" borderId="0" xfId="0" applyFont="1"/>
    <xf numFmtId="0" fontId="3" fillId="0" borderId="0" xfId="0" applyFont="1" applyAlignment="1">
      <alignment horizontal="left"/>
    </xf>
    <xf numFmtId="0" fontId="39" fillId="0" borderId="0" xfId="0" applyFont="1" applyAlignment="1">
      <alignment horizontal="left"/>
    </xf>
    <xf numFmtId="15" fontId="3" fillId="0" borderId="0" xfId="0" applyNumberFormat="1" applyFont="1"/>
    <xf numFmtId="15" fontId="3" fillId="0" borderId="0" xfId="0" applyNumberFormat="1" applyFont="1" applyAlignment="1">
      <alignment horizontal="left"/>
    </xf>
    <xf numFmtId="0" fontId="14" fillId="3" borderId="15"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10" xfId="0" applyFont="1" applyFill="1" applyBorder="1" applyAlignment="1">
      <alignment horizontal="center" vertical="center" wrapText="1"/>
    </xf>
    <xf numFmtId="0" fontId="7" fillId="0" borderId="0" xfId="0" applyFont="1" applyAlignment="1">
      <alignment horizontal="center" vertical="center"/>
    </xf>
    <xf numFmtId="0" fontId="14" fillId="3" borderId="14" xfId="0" applyFont="1" applyFill="1" applyBorder="1" applyAlignment="1">
      <alignment horizontal="center" vertical="center" wrapText="1"/>
    </xf>
    <xf numFmtId="0" fontId="12" fillId="0" borderId="0" xfId="0" applyFont="1" applyAlignment="1">
      <alignment horizontal="center" vertical="center"/>
    </xf>
    <xf numFmtId="0" fontId="0" fillId="0" borderId="0" xfId="0" applyAlignment="1">
      <alignment horizontal="left" vertical="top" wrapText="1"/>
    </xf>
    <xf numFmtId="0" fontId="0" fillId="0" borderId="0" xfId="0" applyAlignment="1">
      <alignment horizontal="center"/>
    </xf>
    <xf numFmtId="0" fontId="0" fillId="0" borderId="26" xfId="0" applyBorder="1" applyAlignment="1">
      <alignment horizontal="center"/>
    </xf>
    <xf numFmtId="0" fontId="13" fillId="4" borderId="32" xfId="0" applyFont="1" applyFill="1" applyBorder="1" applyAlignment="1">
      <alignment horizontal="left" vertical="top" wrapText="1"/>
    </xf>
    <xf numFmtId="0" fontId="7" fillId="0" borderId="0" xfId="0" applyFont="1" applyAlignment="1">
      <alignment horizontal="left" vertical="top" wrapText="1"/>
    </xf>
    <xf numFmtId="0" fontId="0" fillId="0" borderId="0" xfId="0" applyAlignment="1">
      <alignment horizontal="left" vertical="center" wrapText="1"/>
    </xf>
    <xf numFmtId="14" fontId="2" fillId="4" borderId="32" xfId="0" applyNumberFormat="1" applyFont="1" applyFill="1" applyBorder="1" applyAlignment="1">
      <alignment horizontal="left" vertical="top"/>
    </xf>
    <xf numFmtId="0" fontId="13" fillId="0" borderId="0" xfId="0" applyFont="1" applyAlignment="1">
      <alignment horizontal="left" vertical="top"/>
    </xf>
    <xf numFmtId="0" fontId="13" fillId="0" borderId="2" xfId="0" applyFont="1" applyBorder="1" applyAlignment="1">
      <alignment horizontal="left" vertical="top"/>
    </xf>
    <xf numFmtId="0" fontId="13" fillId="4" borderId="19" xfId="0" applyFont="1" applyFill="1" applyBorder="1" applyAlignment="1">
      <alignment horizontal="left" vertical="top" wrapText="1"/>
    </xf>
    <xf numFmtId="0" fontId="0" fillId="4" borderId="32" xfId="0" applyFill="1" applyBorder="1" applyAlignment="1">
      <alignment horizontal="left" vertical="top" wrapText="1"/>
    </xf>
    <xf numFmtId="0" fontId="0" fillId="4" borderId="33" xfId="0" applyFill="1" applyBorder="1" applyAlignment="1">
      <alignment horizontal="left" vertical="top" wrapText="1"/>
    </xf>
    <xf numFmtId="0" fontId="35" fillId="5" borderId="28" xfId="0" applyFont="1" applyFill="1" applyBorder="1" applyAlignment="1">
      <alignment horizontal="center"/>
    </xf>
    <xf numFmtId="0" fontId="0" fillId="0" borderId="5"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4" borderId="19" xfId="0" applyFill="1" applyBorder="1" applyAlignment="1">
      <alignment horizontal="left" vertical="top" wrapText="1"/>
    </xf>
    <xf numFmtId="0" fontId="0" fillId="4" borderId="29" xfId="0" applyFill="1" applyBorder="1" applyAlignment="1">
      <alignment horizontal="left" vertical="top" wrapText="1"/>
    </xf>
    <xf numFmtId="0" fontId="35" fillId="5" borderId="28" xfId="0" applyFont="1" applyFill="1" applyBorder="1" applyAlignment="1">
      <alignment horizontal="center"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4" borderId="30" xfId="0" applyFill="1" applyBorder="1" applyAlignment="1">
      <alignment horizontal="left" vertical="top" wrapText="1"/>
    </xf>
    <xf numFmtId="0" fontId="0" fillId="4" borderId="31" xfId="0" applyFill="1" applyBorder="1" applyAlignment="1">
      <alignment horizontal="left" vertical="top" wrapText="1"/>
    </xf>
    <xf numFmtId="14" fontId="2" fillId="0" borderId="2" xfId="0" applyNumberFormat="1" applyFont="1" applyBorder="1" applyAlignment="1">
      <alignment horizontal="left" vertical="top"/>
    </xf>
    <xf numFmtId="14" fontId="2" fillId="4" borderId="19" xfId="0" applyNumberFormat="1" applyFont="1" applyFill="1" applyBorder="1" applyAlignment="1">
      <alignment horizontal="left" vertical="top"/>
    </xf>
    <xf numFmtId="14" fontId="2" fillId="0" borderId="0" xfId="0" applyNumberFormat="1" applyFont="1" applyAlignment="1">
      <alignment horizontal="left" vertical="top"/>
    </xf>
    <xf numFmtId="14" fontId="2" fillId="0" borderId="7" xfId="0" applyNumberFormat="1" applyFont="1" applyBorder="1" applyAlignment="1">
      <alignment horizontal="left" vertical="top"/>
    </xf>
    <xf numFmtId="14" fontId="2" fillId="4" borderId="30" xfId="0" applyNumberFormat="1" applyFont="1" applyFill="1" applyBorder="1" applyAlignment="1">
      <alignment horizontal="left" vertical="top"/>
    </xf>
    <xf numFmtId="0" fontId="13" fillId="0" borderId="1" xfId="0" applyFont="1" applyBorder="1" applyAlignment="1">
      <alignment horizontal="left" vertical="top" wrapText="1"/>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13" fillId="0" borderId="0" xfId="0" applyFont="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20" fillId="0" borderId="0" xfId="0" applyFont="1"/>
    <xf numFmtId="0" fontId="25" fillId="0" borderId="0" xfId="0" applyFont="1" applyAlignment="1">
      <alignment vertical="top" wrapText="1"/>
    </xf>
    <xf numFmtId="0" fontId="13" fillId="4" borderId="30" xfId="0" applyFont="1" applyFill="1" applyBorder="1" applyAlignment="1">
      <alignment horizontal="left" vertical="top" wrapText="1"/>
    </xf>
    <xf numFmtId="0" fontId="9" fillId="0" borderId="0" xfId="0" applyFont="1" applyAlignment="1">
      <alignment horizontal="left" vertical="center"/>
    </xf>
    <xf numFmtId="0" fontId="0" fillId="0" borderId="0" xfId="0" applyAlignment="1">
      <alignment horizontal="justify" vertical="top" wrapText="1"/>
    </xf>
    <xf numFmtId="0" fontId="8" fillId="0" borderId="0" xfId="0" applyFont="1" applyAlignment="1">
      <alignment horizontal="center" vertical="center"/>
    </xf>
    <xf numFmtId="14" fontId="0" fillId="0" borderId="18" xfId="0" applyNumberFormat="1" applyBorder="1" applyAlignment="1">
      <alignment horizontal="left" vertical="center" wrapText="1"/>
    </xf>
    <xf numFmtId="14" fontId="0" fillId="0" borderId="13" xfId="0" applyNumberFormat="1" applyBorder="1" applyAlignment="1">
      <alignment horizontal="left" vertical="center" wrapText="1"/>
    </xf>
    <xf numFmtId="0" fontId="10" fillId="0" borderId="9" xfId="0" applyFont="1" applyBorder="1" applyAlignment="1">
      <alignment horizontal="center" vertical="center"/>
    </xf>
    <xf numFmtId="0" fontId="10" fillId="0" borderId="11" xfId="0" applyFont="1" applyBorder="1" applyAlignment="1">
      <alignment horizontal="center" vertical="center"/>
    </xf>
    <xf numFmtId="14" fontId="11" fillId="0" borderId="13" xfId="0" applyNumberFormat="1" applyFont="1" applyBorder="1" applyAlignment="1">
      <alignment horizontal="left" vertical="center" wrapText="1"/>
    </xf>
  </cellXfs>
  <cellStyles count="3">
    <cellStyle name="Hipervínculo" xfId="2" builtinId="8"/>
    <cellStyle name="Millares [0]" xfId="1" builtinId="6"/>
    <cellStyle name="Normal" xfId="0" builtinId="0"/>
  </cellStyles>
  <dxfs count="75">
    <dxf>
      <fill>
        <patternFill>
          <bgColor theme="9" tint="0.79998168889431442"/>
        </patternFill>
      </fill>
    </dxf>
    <dxf>
      <fill>
        <patternFill>
          <bgColor theme="4" tint="0.59996337778862885"/>
        </patternFill>
      </fill>
    </dxf>
    <dxf>
      <fill>
        <patternFill>
          <bgColor theme="7" tint="0.59996337778862885"/>
        </patternFill>
      </fill>
    </dxf>
    <dxf>
      <fill>
        <patternFill>
          <bgColor theme="5" tint="0.59996337778862885"/>
        </patternFill>
      </fill>
    </dxf>
    <dxf>
      <fill>
        <patternFill>
          <bgColor theme="8" tint="0.79998168889431442"/>
        </patternFill>
      </fill>
    </dxf>
    <dxf>
      <border>
        <left/>
        <top/>
        <bottom style="thin">
          <color auto="1"/>
        </bottom>
        <vertical/>
        <horizontal/>
      </border>
    </dxf>
    <dxf>
      <fill>
        <patternFill>
          <bgColor theme="7" tint="0.59996337778862885"/>
        </patternFill>
      </fill>
    </dxf>
    <dxf>
      <fill>
        <patternFill>
          <bgColor theme="5" tint="0.59996337778862885"/>
        </patternFill>
      </fill>
    </dxf>
    <dxf>
      <fill>
        <patternFill>
          <bgColor theme="9" tint="0.59996337778862885"/>
        </patternFill>
      </fill>
    </dxf>
    <dxf>
      <fill>
        <patternFill>
          <bgColor theme="7" tint="0.59996337778862885"/>
        </patternFill>
      </fill>
    </dxf>
    <dxf>
      <fill>
        <patternFill>
          <bgColor theme="9" tint="0.59996337778862885"/>
        </patternFill>
      </fill>
    </dxf>
    <dxf>
      <font>
        <color theme="5" tint="-0.499984740745262"/>
      </font>
      <fill>
        <patternFill>
          <bgColor theme="5" tint="-0.24994659260841701"/>
        </patternFill>
      </fill>
    </dxf>
    <dxf>
      <fill>
        <patternFill>
          <bgColor theme="5" tint="0.39994506668294322"/>
        </patternFill>
      </fill>
    </dxf>
    <dxf>
      <border>
        <left/>
        <top/>
        <bottom style="thin">
          <color auto="1"/>
        </bottom>
        <vertical/>
        <horizontal/>
      </border>
    </dxf>
    <dxf>
      <border>
        <left/>
        <top/>
        <bottom style="thin">
          <color auto="1"/>
        </bottom>
        <vertical/>
        <horizontal/>
      </border>
    </dxf>
    <dxf>
      <fill>
        <patternFill>
          <bgColor theme="8" tint="0.59996337778862885"/>
        </patternFill>
      </fill>
    </dxf>
    <dxf>
      <fill>
        <patternFill>
          <bgColor theme="7" tint="0.79998168889431442"/>
        </patternFill>
      </fill>
    </dxf>
    <dxf>
      <fill>
        <patternFill>
          <bgColor theme="8" tint="0.59996337778862885"/>
        </patternFill>
      </fill>
    </dxf>
    <dxf>
      <fill>
        <patternFill>
          <bgColor theme="7" tint="0.79998168889431442"/>
        </patternFill>
      </fill>
    </dxf>
    <dxf>
      <border>
        <left/>
        <top/>
        <bottom style="thin">
          <color auto="1"/>
        </bottom>
        <vertical/>
        <horizontal/>
      </border>
    </dxf>
    <dxf>
      <border>
        <left/>
        <top/>
        <bottom style="thin">
          <color auto="1"/>
        </bottom>
        <vertical/>
        <horizontal/>
      </border>
    </dxf>
    <dxf>
      <border>
        <left/>
        <top/>
        <bottom style="thin">
          <color auto="1"/>
        </bottom>
        <vertical/>
        <horizontal/>
      </border>
    </dxf>
    <dxf>
      <border>
        <left/>
        <top/>
        <bottom style="thin">
          <color auto="1"/>
        </bottom>
        <vertical/>
        <horizontal/>
      </border>
    </dxf>
    <dxf>
      <border>
        <left/>
        <top/>
        <bottom style="thin">
          <color auto="1"/>
        </bottom>
        <vertical/>
        <horizontal/>
      </border>
    </dxf>
    <dxf>
      <border>
        <left/>
        <top/>
        <bottom style="thin">
          <color auto="1"/>
        </bottom>
        <vertical/>
        <horizontal/>
      </border>
    </dxf>
    <dxf>
      <border>
        <left/>
        <top/>
        <bottom style="thin">
          <color auto="1"/>
        </bottom>
        <vertical/>
        <horizontal/>
      </border>
    </dxf>
    <dxf>
      <fill>
        <patternFill>
          <bgColor theme="9" tint="0.79998168889431442"/>
        </patternFill>
      </fill>
    </dxf>
    <dxf>
      <border>
        <left/>
        <top/>
        <bottom style="thin">
          <color auto="1"/>
        </bottom>
        <vertical/>
        <horizontal/>
      </border>
    </dxf>
    <dxf>
      <fill>
        <patternFill>
          <bgColor theme="9" tint="0.79998168889431442"/>
        </patternFill>
      </fill>
    </dxf>
    <dxf>
      <fill>
        <patternFill>
          <bgColor theme="9" tint="0.59996337778862885"/>
        </patternFill>
      </fill>
    </dxf>
    <dxf>
      <fill>
        <patternFill>
          <bgColor theme="9" tint="0.39994506668294322"/>
        </patternFill>
      </fill>
    </dxf>
    <dxf>
      <fill>
        <patternFill>
          <bgColor theme="9" tint="0.59996337778862885"/>
        </patternFill>
      </fill>
    </dxf>
    <dxf>
      <border>
        <left/>
        <top/>
        <bottom style="thin">
          <color auto="1"/>
        </bottom>
        <vertical/>
        <horizontal/>
      </border>
    </dxf>
    <dxf>
      <fill>
        <patternFill>
          <bgColor theme="9" tint="0.79998168889431442"/>
        </patternFill>
      </fill>
    </dxf>
    <dxf>
      <fill>
        <patternFill>
          <bgColor theme="9" tint="0.59996337778862885"/>
        </patternFill>
      </fill>
    </dxf>
    <dxf>
      <fill>
        <patternFill>
          <bgColor theme="9" tint="0.39994506668294322"/>
        </patternFill>
      </fill>
    </dxf>
    <dxf>
      <border>
        <left/>
        <top/>
        <bottom style="thin">
          <color auto="1"/>
        </bottom>
        <vertical/>
        <horizontal/>
      </border>
    </dxf>
    <dxf>
      <fill>
        <patternFill>
          <bgColor theme="9" tint="0.79998168889431442"/>
        </patternFill>
      </fill>
    </dxf>
    <dxf>
      <fill>
        <patternFill>
          <bgColor theme="9" tint="0.59996337778862885"/>
        </patternFill>
      </fill>
    </dxf>
    <dxf>
      <font>
        <color rgb="FF006100"/>
      </font>
      <fill>
        <patternFill>
          <bgColor rgb="FFC6EFCE"/>
        </patternFill>
      </fill>
    </dxf>
    <dxf>
      <border>
        <left/>
        <top/>
        <bottom style="thin">
          <color auto="1"/>
        </bottom>
        <vertical/>
        <horizontal/>
      </border>
    </dxf>
    <dxf>
      <border>
        <left/>
        <top/>
        <bottom style="thin">
          <color auto="1"/>
        </bottom>
        <vertical/>
        <horizontal/>
      </border>
    </dxf>
    <dxf>
      <border>
        <left/>
        <top/>
        <bottom style="thin">
          <color auto="1"/>
        </bottom>
        <vertical/>
        <horizontal/>
      </border>
    </dxf>
    <dxf>
      <border>
        <left/>
        <top/>
        <bottom style="thin">
          <color auto="1"/>
        </bottom>
        <vertical/>
        <horizontal/>
      </border>
    </dxf>
    <dxf>
      <border>
        <left/>
        <top/>
        <bottom style="thin">
          <color auto="1"/>
        </bottom>
        <vertical/>
        <horizontal/>
      </border>
    </dxf>
    <dxf>
      <fill>
        <patternFill>
          <bgColor theme="9" tint="0.79998168889431442"/>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79998168889431442"/>
        </patternFill>
      </fill>
    </dxf>
    <dxf>
      <border>
        <left/>
        <top/>
        <bottom style="thin">
          <color auto="1"/>
        </bottom>
        <vertical/>
        <horizontal/>
      </border>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fill>
        <patternFill patternType="solid">
          <fgColor theme="5" tint="0.79998168889431442"/>
          <bgColor theme="5" tint="0.79998168889431442"/>
        </patternFill>
      </fill>
    </dxf>
    <dxf>
      <font>
        <b/>
        <color theme="1"/>
      </font>
    </dxf>
    <dxf>
      <font>
        <b/>
        <color theme="1"/>
      </font>
      <fill>
        <patternFill patternType="solid">
          <fgColor theme="5" tint="0.59999389629810485"/>
          <bgColor theme="5" tint="0.59999389629810485"/>
        </patternFill>
      </fill>
    </dxf>
    <dxf>
      <font>
        <b/>
        <color theme="1"/>
      </font>
      <border>
        <left style="medium">
          <color theme="5" tint="0.59999389629810485"/>
        </left>
        <right style="medium">
          <color theme="5" tint="0.59999389629810485"/>
        </right>
        <top style="medium">
          <color theme="5" tint="0.59999389629810485"/>
        </top>
        <bottom style="medium">
          <color theme="5" tint="0.59999389629810485"/>
        </bottom>
      </border>
    </dxf>
    <dxf>
      <font>
        <b val="0"/>
        <i val="0"/>
      </font>
    </dxf>
    <dxf>
      <border>
        <left style="thin">
          <color theme="5" tint="0.39997558519241921"/>
        </left>
        <right style="thin">
          <color theme="5" tint="0.39997558519241921"/>
        </right>
      </border>
    </dxf>
    <dxf>
      <border>
        <top style="thin">
          <color theme="5" tint="0.39997558519241921"/>
        </top>
        <bottom style="thin">
          <color theme="5" tint="0.39997558519241921"/>
        </bottom>
        <horizontal style="thin">
          <color theme="5" tint="0.39997558519241921"/>
        </horizontal>
      </border>
    </dxf>
    <dxf>
      <font>
        <b/>
        <color theme="1"/>
      </font>
      <border>
        <top style="thin">
          <color theme="5" tint="-0.249977111117893"/>
        </top>
        <bottom style="medium">
          <color theme="5" tint="-0.249977111117893"/>
        </bottom>
      </border>
    </dxf>
    <dxf>
      <font>
        <b/>
        <color theme="0"/>
      </font>
      <fill>
        <patternFill patternType="solid">
          <fgColor theme="5"/>
          <bgColor theme="5"/>
        </patternFill>
      </fill>
      <border>
        <top style="medium">
          <color theme="5" tint="-0.249977111117893"/>
        </top>
      </border>
    </dxf>
    <dxf>
      <font>
        <color theme="1"/>
      </font>
    </dxf>
  </dxfs>
  <tableStyles count="2" defaultTableStyle="TableStyleMedium2" defaultPivotStyle="PivotStyleLight16">
    <tableStyle name="EaD" table="0" count="13" xr9:uid="{5B371363-6398-4115-BE8B-A77E2840CC91}">
      <tableStyleElement type="wholeTable" dxfId="74"/>
      <tableStyleElement type="headerRow" dxfId="73"/>
      <tableStyleElement type="totalRow" dxfId="72"/>
      <tableStyleElement type="firstRowStripe" dxfId="71"/>
      <tableStyleElement type="firstColumnStripe" dxfId="70"/>
      <tableStyleElement type="secondColumnStripe" dxfId="69"/>
      <tableStyleElement type="firstSubtotalColumn" dxfId="68"/>
      <tableStyleElement type="firstSubtotalRow" dxfId="67"/>
      <tableStyleElement type="secondSubtotalRow" dxfId="66"/>
      <tableStyleElement type="firstRowSubheading" dxfId="65"/>
      <tableStyleElement type="secondRowSubheading" dxfId="64"/>
      <tableStyleElement type="pageFieldLabels" dxfId="63"/>
      <tableStyleElement type="pageFieldValues" dxfId="62"/>
    </tableStyle>
    <tableStyle name="Invisible" pivot="0" table="0" count="0" xr9:uid="{95C1555B-5436-4644-A8E8-5B8964452087}"/>
  </tableStyles>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791047-2C7A-45B7-B19F-78A90F5EC971}" name="Tabla5" displayName="Tabla5" ref="A1:J13" totalsRowShown="0" headerRowDxfId="61" dataDxfId="60">
  <autoFilter ref="A1:J13" xr:uid="{12791047-2C7A-45B7-B19F-78A90F5EC971}"/>
  <sortState xmlns:xlrd2="http://schemas.microsoft.com/office/spreadsheetml/2017/richdata2" ref="B2:J13">
    <sortCondition ref="B1:B13"/>
  </sortState>
  <tableColumns count="10">
    <tableColumn id="5" xr3:uid="{3A550929-E07C-4D86-AA9A-E41579B11CE0}" name="Materia" dataDxfId="59"/>
    <tableColumn id="1" xr3:uid="{0680B0A9-3990-4286-96CB-3C43D0D84E9A}" name="Unidad" dataDxfId="58"/>
    <tableColumn id="7" xr3:uid="{5FBAADB0-5A8B-421D-9FFA-2AB605B1DC50}" name="Descripción unidad"/>
    <tableColumn id="4" xr3:uid="{E0B3CAD2-475E-449B-A151-D17A3440FD70}" name="Nombre de la unidad" dataDxfId="57"/>
    <tableColumn id="3" xr3:uid="{F57D806F-D1F8-40FD-803C-EAF74E7C9A72}" name="Nro." dataDxfId="56"/>
    <tableColumn id="9" xr3:uid="{AB691E6F-4DA3-4C2F-9D6D-999D2AB0B292}" name="Desc actividad" dataDxfId="55"/>
    <tableColumn id="2" xr3:uid="{A1B4B5A1-E6ED-4C63-9F05-E6E0D97FBD16}" name="Objetivos" dataDxfId="54"/>
    <tableColumn id="8" xr3:uid="{21B98160-4766-4E39-A404-E96685928F40}" name="ref2" dataDxfId="53">
      <calculatedColumnFormula>+_xlfn.CONCAT(Tabla5[[#This Row],[Unidad]],"-",Tabla5[[#This Row],[Nro.]])</calculatedColumnFormula>
    </tableColumn>
    <tableColumn id="12" xr3:uid="{74DC4FAA-EB30-4ABB-92D3-11A701997484}" name="ref3" dataDxfId="52">
      <calculatedColumnFormula>+_xlfn.CONCAT(Tabla5[[#This Row],[Unidad]],"-",Tabla5[[#This Row],[Nro. Act.]])</calculatedColumnFormula>
    </tableColumn>
    <tableColumn id="10" xr3:uid="{D9BC8693-43CC-4FD2-992C-CDFF42924FB4}" name="Nro. Act." dataDxfId="5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C5A609-6AA3-4E73-98EF-ABFD57BCE4F5}" name="Tabla1" displayName="Tabla1" ref="A1:C164" totalsRowShown="0">
  <autoFilter ref="A1:C164" xr:uid="{BECAFBEC-9994-4DA9-9DD4-9EC6D1B4C6E9}"/>
  <tableColumns count="3">
    <tableColumn id="1" xr3:uid="{146140F8-AEA7-4AE6-AFCD-CE3C0B7AECD6}" name="codasign"/>
    <tableColumn id="2" xr3:uid="{865B5330-71B4-409C-A40C-11733BDC4DA2}" name="carrera"/>
    <tableColumn id="5" xr3:uid="{5936CD23-B60D-49F1-8E0A-4FE80A402188}" name="descrip"/>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eet.google.com/moz-njfj-pe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FQ66"/>
  <sheetViews>
    <sheetView tabSelected="1" zoomScale="190" zoomScaleNormal="190" workbookViewId="0">
      <selection activeCell="BU30" sqref="BU30"/>
    </sheetView>
  </sheetViews>
  <sheetFormatPr baseColWidth="10" defaultColWidth="2.28515625" defaultRowHeight="11.25" x14ac:dyDescent="0.2"/>
  <cols>
    <col min="1" max="1" width="25.28515625" style="1" bestFit="1" customWidth="1"/>
    <col min="2" max="2" width="31.85546875" style="1" bestFit="1" customWidth="1"/>
    <col min="3" max="3" width="31.85546875" style="1" customWidth="1"/>
    <col min="4" max="4" width="44.140625" style="1" bestFit="1" customWidth="1"/>
    <col min="5" max="5" width="14.5703125" style="1" customWidth="1"/>
    <col min="6" max="6" width="7.85546875" style="1" bestFit="1" customWidth="1"/>
    <col min="7" max="7" width="7.5703125" style="1" bestFit="1" customWidth="1"/>
    <col min="8" max="8" width="7.5703125" style="1" customWidth="1"/>
    <col min="9" max="9" width="6" style="1" customWidth="1"/>
    <col min="10" max="10" width="11.85546875" style="1" bestFit="1" customWidth="1"/>
    <col min="11" max="11" width="10" style="1" customWidth="1"/>
    <col min="12" max="13" width="2.5703125" style="1" bestFit="1" customWidth="1"/>
    <col min="14" max="169" width="2.140625" style="1" customWidth="1"/>
    <col min="170" max="172" width="2.28515625" style="1"/>
    <col min="173" max="173" width="2.28515625" style="20"/>
    <col min="174" max="16384" width="2.28515625" style="1"/>
  </cols>
  <sheetData>
    <row r="1" spans="1:173" x14ac:dyDescent="0.2">
      <c r="A1" s="61" t="s">
        <v>60</v>
      </c>
      <c r="B1" s="67" t="s">
        <v>327</v>
      </c>
      <c r="C1" s="67"/>
    </row>
    <row r="2" spans="1:173" ht="14.25" customHeight="1" x14ac:dyDescent="0.2">
      <c r="A2" s="61" t="s">
        <v>61</v>
      </c>
      <c r="B2" s="67" t="str">
        <f>+_xlfn.XLOOKUP(B1,Tabla1[descrip],Tabla1[carrera],"",0,1)</f>
        <v xml:space="preserve">09MED     </v>
      </c>
      <c r="C2" s="67"/>
    </row>
    <row r="3" spans="1:173" ht="14.25" customHeight="1" x14ac:dyDescent="0.2">
      <c r="A3" s="61" t="s">
        <v>329</v>
      </c>
      <c r="B3" s="67" t="s">
        <v>330</v>
      </c>
      <c r="C3" s="67"/>
      <c r="D3" s="4"/>
    </row>
    <row r="4" spans="1:173" ht="14.25" customHeight="1" x14ac:dyDescent="0.2">
      <c r="A4" s="61" t="s">
        <v>328</v>
      </c>
      <c r="B4" s="68">
        <f>+B5+B6</f>
        <v>4</v>
      </c>
      <c r="C4" s="67"/>
      <c r="D4" s="4"/>
    </row>
    <row r="5" spans="1:173" ht="14.25" customHeight="1" x14ac:dyDescent="0.2">
      <c r="A5" s="61" t="s">
        <v>331</v>
      </c>
      <c r="B5" s="68">
        <v>2</v>
      </c>
      <c r="C5" s="67"/>
      <c r="D5" s="4"/>
    </row>
    <row r="6" spans="1:173" ht="14.25" customHeight="1" x14ac:dyDescent="0.2">
      <c r="A6" s="61" t="s">
        <v>332</v>
      </c>
      <c r="B6" s="68">
        <v>2</v>
      </c>
      <c r="C6" s="67"/>
      <c r="D6" s="4"/>
      <c r="H6" s="4"/>
      <c r="L6" s="1">
        <f>+WEEKDAY(L18)</f>
        <v>6</v>
      </c>
      <c r="M6" s="1">
        <f t="shared" ref="M6:BX6" si="0">+WEEKDAY(M18)</f>
        <v>7</v>
      </c>
      <c r="N6" s="1">
        <f t="shared" si="0"/>
        <v>1</v>
      </c>
      <c r="O6" s="1">
        <f t="shared" si="0"/>
        <v>2</v>
      </c>
      <c r="P6" s="1">
        <f t="shared" si="0"/>
        <v>3</v>
      </c>
      <c r="Q6" s="1">
        <f t="shared" si="0"/>
        <v>4</v>
      </c>
      <c r="R6" s="1">
        <f t="shared" si="0"/>
        <v>5</v>
      </c>
      <c r="S6" s="1">
        <f t="shared" si="0"/>
        <v>6</v>
      </c>
      <c r="T6" s="1">
        <f t="shared" si="0"/>
        <v>7</v>
      </c>
      <c r="U6" s="1">
        <f t="shared" si="0"/>
        <v>1</v>
      </c>
      <c r="V6" s="1">
        <f t="shared" si="0"/>
        <v>2</v>
      </c>
      <c r="W6" s="1">
        <f t="shared" si="0"/>
        <v>3</v>
      </c>
      <c r="X6" s="1">
        <f t="shared" si="0"/>
        <v>4</v>
      </c>
      <c r="Y6" s="1">
        <f t="shared" si="0"/>
        <v>5</v>
      </c>
      <c r="Z6" s="1">
        <f t="shared" si="0"/>
        <v>6</v>
      </c>
      <c r="AA6" s="1">
        <f t="shared" si="0"/>
        <v>7</v>
      </c>
      <c r="AB6" s="1">
        <f t="shared" si="0"/>
        <v>1</v>
      </c>
      <c r="AC6" s="1">
        <f t="shared" si="0"/>
        <v>2</v>
      </c>
      <c r="AD6" s="1">
        <f t="shared" si="0"/>
        <v>3</v>
      </c>
      <c r="AE6" s="1">
        <f t="shared" si="0"/>
        <v>4</v>
      </c>
      <c r="AF6" s="1">
        <f t="shared" si="0"/>
        <v>5</v>
      </c>
      <c r="AG6" s="1">
        <f t="shared" si="0"/>
        <v>6</v>
      </c>
      <c r="AH6" s="1">
        <f t="shared" si="0"/>
        <v>7</v>
      </c>
      <c r="AI6" s="1">
        <f t="shared" si="0"/>
        <v>1</v>
      </c>
      <c r="AJ6" s="1">
        <f t="shared" si="0"/>
        <v>2</v>
      </c>
      <c r="AK6" s="1">
        <f t="shared" si="0"/>
        <v>3</v>
      </c>
      <c r="AL6" s="1">
        <f t="shared" si="0"/>
        <v>4</v>
      </c>
      <c r="AM6" s="1">
        <f t="shared" si="0"/>
        <v>5</v>
      </c>
      <c r="AN6" s="1">
        <f t="shared" si="0"/>
        <v>6</v>
      </c>
      <c r="AO6" s="1">
        <f t="shared" si="0"/>
        <v>7</v>
      </c>
      <c r="AP6" s="1">
        <f t="shared" si="0"/>
        <v>1</v>
      </c>
      <c r="AQ6" s="1">
        <f t="shared" si="0"/>
        <v>2</v>
      </c>
      <c r="AR6" s="1">
        <f t="shared" si="0"/>
        <v>3</v>
      </c>
      <c r="AS6" s="1">
        <f t="shared" si="0"/>
        <v>4</v>
      </c>
      <c r="AT6" s="1">
        <f t="shared" si="0"/>
        <v>5</v>
      </c>
      <c r="AU6" s="1">
        <f t="shared" si="0"/>
        <v>6</v>
      </c>
      <c r="AV6" s="1">
        <f t="shared" si="0"/>
        <v>7</v>
      </c>
      <c r="AW6" s="1">
        <f t="shared" si="0"/>
        <v>1</v>
      </c>
      <c r="AX6" s="1">
        <f t="shared" si="0"/>
        <v>2</v>
      </c>
      <c r="AY6" s="1">
        <f t="shared" si="0"/>
        <v>3</v>
      </c>
      <c r="AZ6" s="1">
        <f t="shared" si="0"/>
        <v>4</v>
      </c>
      <c r="BA6" s="1">
        <f t="shared" si="0"/>
        <v>5</v>
      </c>
      <c r="BB6" s="1">
        <f t="shared" si="0"/>
        <v>6</v>
      </c>
      <c r="BC6" s="1">
        <f t="shared" si="0"/>
        <v>7</v>
      </c>
      <c r="BD6" s="1">
        <f t="shared" si="0"/>
        <v>1</v>
      </c>
      <c r="BE6" s="1">
        <f t="shared" si="0"/>
        <v>2</v>
      </c>
      <c r="BF6" s="1">
        <f t="shared" si="0"/>
        <v>3</v>
      </c>
      <c r="BG6" s="1">
        <f t="shared" si="0"/>
        <v>4</v>
      </c>
      <c r="BH6" s="1">
        <f t="shared" si="0"/>
        <v>5</v>
      </c>
      <c r="BI6" s="1">
        <f t="shared" si="0"/>
        <v>6</v>
      </c>
      <c r="BJ6" s="1">
        <f t="shared" si="0"/>
        <v>7</v>
      </c>
      <c r="BK6" s="1">
        <f t="shared" si="0"/>
        <v>1</v>
      </c>
      <c r="BL6" s="1">
        <f t="shared" si="0"/>
        <v>2</v>
      </c>
      <c r="BM6" s="1">
        <f t="shared" si="0"/>
        <v>3</v>
      </c>
      <c r="BN6" s="1">
        <f t="shared" si="0"/>
        <v>4</v>
      </c>
      <c r="BO6" s="1">
        <f t="shared" si="0"/>
        <v>5</v>
      </c>
      <c r="BP6" s="1">
        <f t="shared" si="0"/>
        <v>6</v>
      </c>
      <c r="BQ6" s="1">
        <f t="shared" si="0"/>
        <v>7</v>
      </c>
      <c r="BR6" s="1">
        <f t="shared" si="0"/>
        <v>1</v>
      </c>
      <c r="BS6" s="1">
        <f t="shared" si="0"/>
        <v>2</v>
      </c>
      <c r="BT6" s="1">
        <f t="shared" si="0"/>
        <v>3</v>
      </c>
      <c r="BU6" s="1">
        <f t="shared" si="0"/>
        <v>4</v>
      </c>
      <c r="BV6" s="1">
        <f t="shared" si="0"/>
        <v>5</v>
      </c>
      <c r="BW6" s="1">
        <f t="shared" si="0"/>
        <v>6</v>
      </c>
      <c r="BX6" s="1">
        <f t="shared" si="0"/>
        <v>7</v>
      </c>
      <c r="BY6" s="1">
        <f t="shared" ref="BY6:EJ6" si="1">+WEEKDAY(BY18)</f>
        <v>1</v>
      </c>
      <c r="BZ6" s="1">
        <f t="shared" si="1"/>
        <v>2</v>
      </c>
      <c r="CA6" s="1">
        <f t="shared" si="1"/>
        <v>3</v>
      </c>
      <c r="CB6" s="1">
        <f t="shared" si="1"/>
        <v>4</v>
      </c>
      <c r="CC6" s="1">
        <f t="shared" si="1"/>
        <v>5</v>
      </c>
      <c r="CD6" s="1">
        <f t="shared" si="1"/>
        <v>6</v>
      </c>
      <c r="CE6" s="1">
        <f t="shared" si="1"/>
        <v>7</v>
      </c>
      <c r="CF6" s="1">
        <f t="shared" si="1"/>
        <v>1</v>
      </c>
      <c r="CG6" s="1">
        <f t="shared" si="1"/>
        <v>2</v>
      </c>
      <c r="CH6" s="1">
        <f t="shared" si="1"/>
        <v>3</v>
      </c>
      <c r="CI6" s="1">
        <f t="shared" si="1"/>
        <v>4</v>
      </c>
      <c r="CJ6" s="1">
        <f t="shared" si="1"/>
        <v>5</v>
      </c>
      <c r="CK6" s="1">
        <f t="shared" si="1"/>
        <v>6</v>
      </c>
      <c r="CL6" s="1">
        <f t="shared" si="1"/>
        <v>7</v>
      </c>
      <c r="CM6" s="1">
        <f t="shared" si="1"/>
        <v>1</v>
      </c>
      <c r="CN6" s="1">
        <f t="shared" si="1"/>
        <v>2</v>
      </c>
      <c r="CO6" s="1">
        <f t="shared" si="1"/>
        <v>3</v>
      </c>
      <c r="CP6" s="1">
        <f t="shared" si="1"/>
        <v>4</v>
      </c>
      <c r="CQ6" s="1">
        <f t="shared" si="1"/>
        <v>5</v>
      </c>
      <c r="CR6" s="1">
        <f t="shared" si="1"/>
        <v>6</v>
      </c>
      <c r="CS6" s="1">
        <f t="shared" si="1"/>
        <v>7</v>
      </c>
      <c r="CT6" s="1">
        <f t="shared" si="1"/>
        <v>1</v>
      </c>
      <c r="CU6" s="1">
        <f t="shared" si="1"/>
        <v>2</v>
      </c>
      <c r="CV6" s="1">
        <f t="shared" si="1"/>
        <v>3</v>
      </c>
      <c r="CW6" s="1">
        <f t="shared" si="1"/>
        <v>4</v>
      </c>
      <c r="CX6" s="1">
        <f t="shared" si="1"/>
        <v>5</v>
      </c>
      <c r="CY6" s="1">
        <f t="shared" si="1"/>
        <v>6</v>
      </c>
      <c r="CZ6" s="1">
        <f t="shared" si="1"/>
        <v>7</v>
      </c>
      <c r="DA6" s="1">
        <f t="shared" si="1"/>
        <v>1</v>
      </c>
      <c r="DB6" s="1">
        <f t="shared" si="1"/>
        <v>2</v>
      </c>
      <c r="DC6" s="1">
        <f t="shared" si="1"/>
        <v>3</v>
      </c>
      <c r="DD6" s="1">
        <f t="shared" si="1"/>
        <v>4</v>
      </c>
      <c r="DE6" s="1">
        <f t="shared" si="1"/>
        <v>5</v>
      </c>
      <c r="DF6" s="1">
        <f t="shared" si="1"/>
        <v>6</v>
      </c>
      <c r="DG6" s="1">
        <f t="shared" si="1"/>
        <v>7</v>
      </c>
      <c r="DH6" s="1">
        <f t="shared" si="1"/>
        <v>1</v>
      </c>
      <c r="DI6" s="1">
        <f t="shared" si="1"/>
        <v>2</v>
      </c>
      <c r="DJ6" s="1">
        <f t="shared" si="1"/>
        <v>3</v>
      </c>
      <c r="DK6" s="1">
        <f t="shared" si="1"/>
        <v>4</v>
      </c>
      <c r="DL6" s="1">
        <f t="shared" si="1"/>
        <v>5</v>
      </c>
      <c r="DM6" s="1">
        <f t="shared" si="1"/>
        <v>6</v>
      </c>
      <c r="DN6" s="1">
        <f t="shared" si="1"/>
        <v>7</v>
      </c>
      <c r="DO6" s="1">
        <f t="shared" si="1"/>
        <v>1</v>
      </c>
      <c r="DP6" s="1">
        <f t="shared" si="1"/>
        <v>2</v>
      </c>
      <c r="DQ6" s="1">
        <f t="shared" si="1"/>
        <v>3</v>
      </c>
      <c r="DR6" s="1">
        <f t="shared" si="1"/>
        <v>4</v>
      </c>
      <c r="DS6" s="1">
        <f t="shared" si="1"/>
        <v>5</v>
      </c>
      <c r="DT6" s="1">
        <f t="shared" si="1"/>
        <v>6</v>
      </c>
      <c r="DU6" s="1">
        <f t="shared" si="1"/>
        <v>7</v>
      </c>
      <c r="DV6" s="1">
        <f t="shared" si="1"/>
        <v>1</v>
      </c>
      <c r="DW6" s="1">
        <f t="shared" si="1"/>
        <v>2</v>
      </c>
      <c r="DX6" s="1">
        <f t="shared" si="1"/>
        <v>3</v>
      </c>
      <c r="DY6" s="1">
        <f t="shared" si="1"/>
        <v>4</v>
      </c>
      <c r="DZ6" s="1">
        <f t="shared" si="1"/>
        <v>5</v>
      </c>
      <c r="EA6" s="1">
        <f t="shared" si="1"/>
        <v>6</v>
      </c>
      <c r="EB6" s="1">
        <f t="shared" si="1"/>
        <v>7</v>
      </c>
      <c r="EC6" s="1">
        <f t="shared" si="1"/>
        <v>1</v>
      </c>
      <c r="ED6" s="1">
        <f t="shared" si="1"/>
        <v>2</v>
      </c>
      <c r="EE6" s="1">
        <f t="shared" si="1"/>
        <v>3</v>
      </c>
      <c r="EF6" s="1">
        <f t="shared" si="1"/>
        <v>4</v>
      </c>
      <c r="EG6" s="1">
        <f t="shared" si="1"/>
        <v>5</v>
      </c>
      <c r="EH6" s="1">
        <f t="shared" si="1"/>
        <v>6</v>
      </c>
      <c r="EI6" s="1">
        <f t="shared" si="1"/>
        <v>7</v>
      </c>
      <c r="EJ6" s="1">
        <f t="shared" si="1"/>
        <v>1</v>
      </c>
      <c r="EK6" s="1">
        <f t="shared" ref="EK6:EV6" si="2">+WEEKDAY(EK18)</f>
        <v>2</v>
      </c>
      <c r="EL6" s="1">
        <f t="shared" si="2"/>
        <v>3</v>
      </c>
      <c r="EM6" s="1">
        <f t="shared" si="2"/>
        <v>4</v>
      </c>
      <c r="EN6" s="1">
        <f t="shared" si="2"/>
        <v>5</v>
      </c>
      <c r="EO6" s="1">
        <f t="shared" si="2"/>
        <v>6</v>
      </c>
      <c r="EP6" s="1">
        <f t="shared" si="2"/>
        <v>7</v>
      </c>
      <c r="EQ6" s="1">
        <f t="shared" si="2"/>
        <v>1</v>
      </c>
      <c r="ER6" s="1">
        <f t="shared" si="2"/>
        <v>2</v>
      </c>
      <c r="ES6" s="1">
        <f t="shared" si="2"/>
        <v>3</v>
      </c>
      <c r="ET6" s="1">
        <f t="shared" si="2"/>
        <v>4</v>
      </c>
      <c r="EU6" s="1">
        <f t="shared" si="2"/>
        <v>5</v>
      </c>
      <c r="EV6" s="1">
        <f t="shared" si="2"/>
        <v>6</v>
      </c>
    </row>
    <row r="7" spans="1:173" ht="14.25" customHeight="1" x14ac:dyDescent="0.2">
      <c r="A7" s="61" t="s">
        <v>59</v>
      </c>
      <c r="B7" s="68">
        <v>2025</v>
      </c>
      <c r="C7" s="67"/>
      <c r="D7" s="4"/>
      <c r="H7" s="4"/>
    </row>
    <row r="8" spans="1:173" ht="14.25" customHeight="1" thickBot="1" x14ac:dyDescent="0.25">
      <c r="A8" s="62" t="s">
        <v>344</v>
      </c>
      <c r="B8" s="68">
        <v>2</v>
      </c>
      <c r="C8" s="67"/>
      <c r="D8" s="4"/>
      <c r="H8" s="4"/>
    </row>
    <row r="9" spans="1:173" ht="14.25" customHeight="1" x14ac:dyDescent="0.2">
      <c r="A9" s="63" t="s">
        <v>334</v>
      </c>
      <c r="B9" s="69" t="s">
        <v>4</v>
      </c>
      <c r="C9" s="67" t="s">
        <v>5</v>
      </c>
      <c r="D9" s="4"/>
      <c r="H9" s="4"/>
    </row>
    <row r="10" spans="1:173" ht="14.25" customHeight="1" x14ac:dyDescent="0.2">
      <c r="A10" s="64" t="s">
        <v>0</v>
      </c>
      <c r="B10" s="71">
        <v>45870</v>
      </c>
      <c r="C10" s="70">
        <v>45910</v>
      </c>
      <c r="D10" s="4"/>
      <c r="H10" s="4"/>
    </row>
    <row r="11" spans="1:173" ht="14.25" customHeight="1" x14ac:dyDescent="0.2">
      <c r="A11" s="64" t="s">
        <v>1</v>
      </c>
      <c r="B11" s="71">
        <v>45911</v>
      </c>
      <c r="C11" s="70">
        <v>45926</v>
      </c>
      <c r="D11" s="4"/>
      <c r="H11" s="4"/>
    </row>
    <row r="12" spans="1:173" x14ac:dyDescent="0.2">
      <c r="A12" s="64" t="s">
        <v>2</v>
      </c>
      <c r="B12" s="71">
        <v>45927</v>
      </c>
      <c r="C12" s="70">
        <v>45964</v>
      </c>
      <c r="H12" s="4"/>
    </row>
    <row r="13" spans="1:173" x14ac:dyDescent="0.2">
      <c r="A13" s="64" t="s">
        <v>3</v>
      </c>
      <c r="B13" s="71">
        <v>45965</v>
      </c>
      <c r="C13" s="70">
        <v>45980</v>
      </c>
    </row>
    <row r="14" spans="1:173" ht="12" thickBot="1" x14ac:dyDescent="0.25">
      <c r="A14" s="65" t="s">
        <v>6</v>
      </c>
      <c r="B14" s="71">
        <v>45981</v>
      </c>
      <c r="C14" s="70">
        <v>46018</v>
      </c>
      <c r="D14" s="4"/>
    </row>
    <row r="15" spans="1:173" x14ac:dyDescent="0.2">
      <c r="A15" s="66" t="s">
        <v>460</v>
      </c>
      <c r="B15" s="68" t="s">
        <v>461</v>
      </c>
      <c r="C15" s="67"/>
      <c r="L15" s="1">
        <f>+IFERROR(WEEKDAY(L18),"")</f>
        <v>6</v>
      </c>
      <c r="M15" s="1">
        <f t="shared" ref="M15:BX15" si="3">+IFERROR(WEEKDAY(M18),"")</f>
        <v>7</v>
      </c>
      <c r="N15" s="1">
        <f t="shared" si="3"/>
        <v>1</v>
      </c>
      <c r="O15" s="1">
        <f t="shared" si="3"/>
        <v>2</v>
      </c>
      <c r="P15" s="1">
        <f t="shared" si="3"/>
        <v>3</v>
      </c>
      <c r="Q15" s="1">
        <f t="shared" si="3"/>
        <v>4</v>
      </c>
      <c r="R15" s="1">
        <f t="shared" si="3"/>
        <v>5</v>
      </c>
      <c r="S15" s="1">
        <f t="shared" si="3"/>
        <v>6</v>
      </c>
      <c r="T15" s="1">
        <f t="shared" si="3"/>
        <v>7</v>
      </c>
      <c r="U15" s="1">
        <f t="shared" si="3"/>
        <v>1</v>
      </c>
      <c r="V15" s="1">
        <f t="shared" si="3"/>
        <v>2</v>
      </c>
      <c r="W15" s="1">
        <f t="shared" si="3"/>
        <v>3</v>
      </c>
      <c r="X15" s="1">
        <f t="shared" si="3"/>
        <v>4</v>
      </c>
      <c r="Y15" s="1">
        <f t="shared" si="3"/>
        <v>5</v>
      </c>
      <c r="Z15" s="1">
        <f t="shared" si="3"/>
        <v>6</v>
      </c>
      <c r="AA15" s="1">
        <f t="shared" si="3"/>
        <v>7</v>
      </c>
      <c r="AB15" s="1">
        <f t="shared" si="3"/>
        <v>1</v>
      </c>
      <c r="AC15" s="1">
        <f t="shared" si="3"/>
        <v>2</v>
      </c>
      <c r="AD15" s="1">
        <f t="shared" si="3"/>
        <v>3</v>
      </c>
      <c r="AE15" s="1">
        <f t="shared" si="3"/>
        <v>4</v>
      </c>
      <c r="AF15" s="1">
        <f t="shared" si="3"/>
        <v>5</v>
      </c>
      <c r="AG15" s="1">
        <f t="shared" si="3"/>
        <v>6</v>
      </c>
      <c r="AH15" s="1">
        <f t="shared" si="3"/>
        <v>7</v>
      </c>
      <c r="AI15" s="1">
        <f t="shared" si="3"/>
        <v>1</v>
      </c>
      <c r="AJ15" s="1">
        <f t="shared" si="3"/>
        <v>2</v>
      </c>
      <c r="AK15" s="1">
        <f t="shared" si="3"/>
        <v>3</v>
      </c>
      <c r="AL15" s="1">
        <f t="shared" si="3"/>
        <v>4</v>
      </c>
      <c r="AM15" s="1">
        <f t="shared" si="3"/>
        <v>5</v>
      </c>
      <c r="AN15" s="1">
        <f t="shared" si="3"/>
        <v>6</v>
      </c>
      <c r="AO15" s="1">
        <f t="shared" si="3"/>
        <v>7</v>
      </c>
      <c r="AP15" s="1">
        <f t="shared" si="3"/>
        <v>1</v>
      </c>
      <c r="AQ15" s="1">
        <f t="shared" si="3"/>
        <v>2</v>
      </c>
      <c r="AR15" s="1">
        <f t="shared" si="3"/>
        <v>3</v>
      </c>
      <c r="AS15" s="1">
        <f t="shared" si="3"/>
        <v>4</v>
      </c>
      <c r="AT15" s="1">
        <f t="shared" si="3"/>
        <v>5</v>
      </c>
      <c r="AU15" s="1">
        <f t="shared" si="3"/>
        <v>6</v>
      </c>
      <c r="AV15" s="1">
        <f t="shared" si="3"/>
        <v>7</v>
      </c>
      <c r="AW15" s="1">
        <f t="shared" si="3"/>
        <v>1</v>
      </c>
      <c r="AX15" s="1">
        <f t="shared" si="3"/>
        <v>2</v>
      </c>
      <c r="AY15" s="1">
        <f t="shared" si="3"/>
        <v>3</v>
      </c>
      <c r="AZ15" s="1">
        <f t="shared" si="3"/>
        <v>4</v>
      </c>
      <c r="BA15" s="1">
        <f t="shared" si="3"/>
        <v>5</v>
      </c>
      <c r="BB15" s="1">
        <f t="shared" si="3"/>
        <v>6</v>
      </c>
      <c r="BC15" s="1">
        <f t="shared" si="3"/>
        <v>7</v>
      </c>
      <c r="BD15" s="1">
        <f t="shared" si="3"/>
        <v>1</v>
      </c>
      <c r="BE15" s="1">
        <f t="shared" si="3"/>
        <v>2</v>
      </c>
      <c r="BF15" s="1">
        <f t="shared" si="3"/>
        <v>3</v>
      </c>
      <c r="BG15" s="1">
        <f t="shared" si="3"/>
        <v>4</v>
      </c>
      <c r="BH15" s="1">
        <f t="shared" si="3"/>
        <v>5</v>
      </c>
      <c r="BI15" s="1">
        <f t="shared" si="3"/>
        <v>6</v>
      </c>
      <c r="BJ15" s="1">
        <f t="shared" si="3"/>
        <v>7</v>
      </c>
      <c r="BK15" s="1">
        <f t="shared" si="3"/>
        <v>1</v>
      </c>
      <c r="BL15" s="1">
        <f t="shared" si="3"/>
        <v>2</v>
      </c>
      <c r="BM15" s="1">
        <f t="shared" si="3"/>
        <v>3</v>
      </c>
      <c r="BN15" s="1">
        <f t="shared" si="3"/>
        <v>4</v>
      </c>
      <c r="BO15" s="1">
        <f t="shared" si="3"/>
        <v>5</v>
      </c>
      <c r="BP15" s="1">
        <f t="shared" si="3"/>
        <v>6</v>
      </c>
      <c r="BQ15" s="1">
        <f t="shared" si="3"/>
        <v>7</v>
      </c>
      <c r="BR15" s="1">
        <f t="shared" si="3"/>
        <v>1</v>
      </c>
      <c r="BS15" s="1">
        <f t="shared" si="3"/>
        <v>2</v>
      </c>
      <c r="BT15" s="1">
        <f t="shared" si="3"/>
        <v>3</v>
      </c>
      <c r="BU15" s="1">
        <f t="shared" si="3"/>
        <v>4</v>
      </c>
      <c r="BV15" s="1">
        <f t="shared" si="3"/>
        <v>5</v>
      </c>
      <c r="BW15" s="1">
        <f t="shared" si="3"/>
        <v>6</v>
      </c>
      <c r="BX15" s="1">
        <f t="shared" si="3"/>
        <v>7</v>
      </c>
      <c r="BY15" s="1">
        <f t="shared" ref="BY15:EJ15" si="4">+IFERROR(WEEKDAY(BY18),"")</f>
        <v>1</v>
      </c>
      <c r="BZ15" s="1">
        <f t="shared" si="4"/>
        <v>2</v>
      </c>
      <c r="CA15" s="1">
        <f t="shared" si="4"/>
        <v>3</v>
      </c>
      <c r="CB15" s="1">
        <f t="shared" si="4"/>
        <v>4</v>
      </c>
      <c r="CC15" s="1">
        <f t="shared" si="4"/>
        <v>5</v>
      </c>
      <c r="CD15" s="1">
        <f t="shared" si="4"/>
        <v>6</v>
      </c>
      <c r="CE15" s="1">
        <f t="shared" si="4"/>
        <v>7</v>
      </c>
      <c r="CF15" s="1">
        <f t="shared" si="4"/>
        <v>1</v>
      </c>
      <c r="CG15" s="1">
        <f t="shared" si="4"/>
        <v>2</v>
      </c>
      <c r="CH15" s="1">
        <f t="shared" si="4"/>
        <v>3</v>
      </c>
      <c r="CI15" s="1">
        <f t="shared" si="4"/>
        <v>4</v>
      </c>
      <c r="CJ15" s="1">
        <f t="shared" si="4"/>
        <v>5</v>
      </c>
      <c r="CK15" s="1">
        <f t="shared" si="4"/>
        <v>6</v>
      </c>
      <c r="CL15" s="1">
        <f t="shared" si="4"/>
        <v>7</v>
      </c>
      <c r="CM15" s="1">
        <f t="shared" si="4"/>
        <v>1</v>
      </c>
      <c r="CN15" s="1">
        <f t="shared" si="4"/>
        <v>2</v>
      </c>
      <c r="CO15" s="1">
        <f t="shared" si="4"/>
        <v>3</v>
      </c>
      <c r="CP15" s="1">
        <f t="shared" si="4"/>
        <v>4</v>
      </c>
      <c r="CQ15" s="1">
        <f t="shared" si="4"/>
        <v>5</v>
      </c>
      <c r="CR15" s="1">
        <f t="shared" si="4"/>
        <v>6</v>
      </c>
      <c r="CS15" s="1">
        <f t="shared" si="4"/>
        <v>7</v>
      </c>
      <c r="CT15" s="1">
        <f t="shared" si="4"/>
        <v>1</v>
      </c>
      <c r="CU15" s="1">
        <f t="shared" si="4"/>
        <v>2</v>
      </c>
      <c r="CV15" s="1">
        <f t="shared" si="4"/>
        <v>3</v>
      </c>
      <c r="CW15" s="1">
        <f t="shared" si="4"/>
        <v>4</v>
      </c>
      <c r="CX15" s="1">
        <f t="shared" si="4"/>
        <v>5</v>
      </c>
      <c r="CY15" s="1">
        <f t="shared" si="4"/>
        <v>6</v>
      </c>
      <c r="CZ15" s="1">
        <f t="shared" si="4"/>
        <v>7</v>
      </c>
      <c r="DA15" s="1">
        <f t="shared" si="4"/>
        <v>1</v>
      </c>
      <c r="DB15" s="1">
        <f t="shared" si="4"/>
        <v>2</v>
      </c>
      <c r="DC15" s="1">
        <f t="shared" si="4"/>
        <v>3</v>
      </c>
      <c r="DD15" s="1">
        <f t="shared" si="4"/>
        <v>4</v>
      </c>
      <c r="DE15" s="1">
        <f t="shared" si="4"/>
        <v>5</v>
      </c>
      <c r="DF15" s="1">
        <f t="shared" si="4"/>
        <v>6</v>
      </c>
      <c r="DG15" s="1">
        <f t="shared" si="4"/>
        <v>7</v>
      </c>
      <c r="DH15" s="1">
        <f t="shared" si="4"/>
        <v>1</v>
      </c>
      <c r="DI15" s="1">
        <f t="shared" si="4"/>
        <v>2</v>
      </c>
      <c r="DJ15" s="1">
        <f t="shared" si="4"/>
        <v>3</v>
      </c>
      <c r="DK15" s="1">
        <f t="shared" si="4"/>
        <v>4</v>
      </c>
      <c r="DL15" s="1">
        <f t="shared" si="4"/>
        <v>5</v>
      </c>
      <c r="DM15" s="1">
        <f t="shared" si="4"/>
        <v>6</v>
      </c>
      <c r="DN15" s="1">
        <f t="shared" si="4"/>
        <v>7</v>
      </c>
      <c r="DO15" s="1">
        <f t="shared" si="4"/>
        <v>1</v>
      </c>
      <c r="DP15" s="1">
        <f t="shared" si="4"/>
        <v>2</v>
      </c>
      <c r="DQ15" s="1">
        <f t="shared" si="4"/>
        <v>3</v>
      </c>
      <c r="DR15" s="1">
        <f t="shared" si="4"/>
        <v>4</v>
      </c>
      <c r="DS15" s="1">
        <f t="shared" si="4"/>
        <v>5</v>
      </c>
      <c r="DT15" s="1">
        <f t="shared" si="4"/>
        <v>6</v>
      </c>
      <c r="DU15" s="1">
        <f t="shared" si="4"/>
        <v>7</v>
      </c>
      <c r="DV15" s="1">
        <f t="shared" si="4"/>
        <v>1</v>
      </c>
      <c r="DW15" s="1">
        <f t="shared" si="4"/>
        <v>2</v>
      </c>
      <c r="DX15" s="1">
        <f t="shared" si="4"/>
        <v>3</v>
      </c>
      <c r="DY15" s="1">
        <f t="shared" si="4"/>
        <v>4</v>
      </c>
      <c r="DZ15" s="1">
        <f t="shared" si="4"/>
        <v>5</v>
      </c>
      <c r="EA15" s="1">
        <f t="shared" si="4"/>
        <v>6</v>
      </c>
      <c r="EB15" s="1">
        <f t="shared" si="4"/>
        <v>7</v>
      </c>
      <c r="EC15" s="1">
        <f t="shared" si="4"/>
        <v>1</v>
      </c>
      <c r="ED15" s="1">
        <f t="shared" si="4"/>
        <v>2</v>
      </c>
      <c r="EE15" s="1">
        <f t="shared" si="4"/>
        <v>3</v>
      </c>
      <c r="EF15" s="1">
        <f t="shared" si="4"/>
        <v>4</v>
      </c>
      <c r="EG15" s="1">
        <f t="shared" si="4"/>
        <v>5</v>
      </c>
      <c r="EH15" s="1">
        <f t="shared" si="4"/>
        <v>6</v>
      </c>
      <c r="EI15" s="1">
        <f t="shared" si="4"/>
        <v>7</v>
      </c>
      <c r="EJ15" s="1">
        <f t="shared" si="4"/>
        <v>1</v>
      </c>
      <c r="EK15" s="1">
        <f t="shared" ref="EK15:FQ15" si="5">+IFERROR(WEEKDAY(EK18),"")</f>
        <v>2</v>
      </c>
      <c r="EL15" s="1">
        <f t="shared" si="5"/>
        <v>3</v>
      </c>
      <c r="EM15" s="1">
        <f t="shared" si="5"/>
        <v>4</v>
      </c>
      <c r="EN15" s="1">
        <f t="shared" si="5"/>
        <v>5</v>
      </c>
      <c r="EO15" s="1">
        <f t="shared" si="5"/>
        <v>6</v>
      </c>
      <c r="EP15" s="1">
        <f t="shared" si="5"/>
        <v>7</v>
      </c>
      <c r="EQ15" s="1">
        <f t="shared" si="5"/>
        <v>1</v>
      </c>
      <c r="ER15" s="1">
        <f t="shared" si="5"/>
        <v>2</v>
      </c>
      <c r="ES15" s="1">
        <f t="shared" si="5"/>
        <v>3</v>
      </c>
      <c r="ET15" s="1">
        <f t="shared" si="5"/>
        <v>4</v>
      </c>
      <c r="EU15" s="1">
        <f t="shared" si="5"/>
        <v>5</v>
      </c>
      <c r="EV15" s="1">
        <f t="shared" si="5"/>
        <v>6</v>
      </c>
      <c r="EW15" s="1">
        <f t="shared" si="5"/>
        <v>7</v>
      </c>
      <c r="EX15" s="1">
        <f t="shared" si="5"/>
        <v>1</v>
      </c>
      <c r="EY15" s="1">
        <f t="shared" si="5"/>
        <v>2</v>
      </c>
      <c r="EZ15" s="1">
        <f t="shared" si="5"/>
        <v>3</v>
      </c>
      <c r="FA15" s="1">
        <f t="shared" si="5"/>
        <v>4</v>
      </c>
      <c r="FB15" s="1">
        <f t="shared" si="5"/>
        <v>5</v>
      </c>
      <c r="FC15" s="1">
        <f t="shared" si="5"/>
        <v>6</v>
      </c>
      <c r="FD15" s="1">
        <f t="shared" si="5"/>
        <v>7</v>
      </c>
      <c r="FE15" s="1" t="str">
        <f t="shared" si="5"/>
        <v/>
      </c>
      <c r="FF15" s="1" t="str">
        <f t="shared" si="5"/>
        <v/>
      </c>
      <c r="FG15" s="1" t="str">
        <f t="shared" si="5"/>
        <v/>
      </c>
      <c r="FH15" s="1" t="str">
        <f t="shared" si="5"/>
        <v/>
      </c>
      <c r="FI15" s="1" t="str">
        <f t="shared" si="5"/>
        <v/>
      </c>
      <c r="FJ15" s="1" t="str">
        <f t="shared" si="5"/>
        <v/>
      </c>
      <c r="FK15" s="1" t="str">
        <f t="shared" si="5"/>
        <v/>
      </c>
      <c r="FL15" s="1" t="str">
        <f t="shared" si="5"/>
        <v/>
      </c>
      <c r="FM15" s="1" t="str">
        <f t="shared" si="5"/>
        <v/>
      </c>
      <c r="FN15" s="1" t="str">
        <f t="shared" si="5"/>
        <v/>
      </c>
      <c r="FO15" s="1" t="str">
        <f t="shared" si="5"/>
        <v/>
      </c>
      <c r="FP15" s="1" t="str">
        <f t="shared" si="5"/>
        <v/>
      </c>
      <c r="FQ15" s="1" t="str">
        <f t="shared" si="5"/>
        <v/>
      </c>
    </row>
    <row r="16" spans="1:173" x14ac:dyDescent="0.2">
      <c r="A16" s="66" t="s">
        <v>462</v>
      </c>
      <c r="B16" s="69"/>
      <c r="C16" s="67"/>
    </row>
    <row r="17" spans="1:173" x14ac:dyDescent="0.2">
      <c r="A17" s="21"/>
    </row>
    <row r="18" spans="1:173" s="21" customFormat="1" ht="78.75" customHeight="1" x14ac:dyDescent="0.25">
      <c r="A18" s="22" t="s">
        <v>7</v>
      </c>
      <c r="B18" s="22" t="s">
        <v>11</v>
      </c>
      <c r="C18" s="22" t="s">
        <v>459</v>
      </c>
      <c r="D18" s="22" t="s">
        <v>477</v>
      </c>
      <c r="E18" s="22" t="s">
        <v>457</v>
      </c>
      <c r="F18" s="22" t="s">
        <v>13</v>
      </c>
      <c r="G18" s="22" t="s">
        <v>12</v>
      </c>
      <c r="H18" s="22" t="s">
        <v>458</v>
      </c>
      <c r="I18" s="22" t="s">
        <v>8</v>
      </c>
      <c r="J18" s="23" t="s">
        <v>4</v>
      </c>
      <c r="K18" s="22" t="s">
        <v>5</v>
      </c>
      <c r="L18" s="24">
        <f>+B10</f>
        <v>45870</v>
      </c>
      <c r="M18" s="24">
        <f t="shared" ref="M18:AR18" si="6">IF(L18&lt;$C$14,1+L18,"")</f>
        <v>45871</v>
      </c>
      <c r="N18" s="24">
        <f t="shared" si="6"/>
        <v>45872</v>
      </c>
      <c r="O18" s="24">
        <f t="shared" si="6"/>
        <v>45873</v>
      </c>
      <c r="P18" s="24">
        <f t="shared" si="6"/>
        <v>45874</v>
      </c>
      <c r="Q18" s="24">
        <f t="shared" si="6"/>
        <v>45875</v>
      </c>
      <c r="R18" s="24">
        <f t="shared" si="6"/>
        <v>45876</v>
      </c>
      <c r="S18" s="24">
        <f t="shared" si="6"/>
        <v>45877</v>
      </c>
      <c r="T18" s="24">
        <f t="shared" si="6"/>
        <v>45878</v>
      </c>
      <c r="U18" s="24">
        <f t="shared" si="6"/>
        <v>45879</v>
      </c>
      <c r="V18" s="24">
        <f t="shared" si="6"/>
        <v>45880</v>
      </c>
      <c r="W18" s="24">
        <f t="shared" si="6"/>
        <v>45881</v>
      </c>
      <c r="X18" s="24">
        <f t="shared" si="6"/>
        <v>45882</v>
      </c>
      <c r="Y18" s="24">
        <f t="shared" si="6"/>
        <v>45883</v>
      </c>
      <c r="Z18" s="24">
        <f t="shared" si="6"/>
        <v>45884</v>
      </c>
      <c r="AA18" s="24">
        <f t="shared" si="6"/>
        <v>45885</v>
      </c>
      <c r="AB18" s="24">
        <f t="shared" si="6"/>
        <v>45886</v>
      </c>
      <c r="AC18" s="24">
        <f t="shared" si="6"/>
        <v>45887</v>
      </c>
      <c r="AD18" s="24">
        <f t="shared" si="6"/>
        <v>45888</v>
      </c>
      <c r="AE18" s="24">
        <f t="shared" si="6"/>
        <v>45889</v>
      </c>
      <c r="AF18" s="24">
        <f t="shared" si="6"/>
        <v>45890</v>
      </c>
      <c r="AG18" s="24">
        <f t="shared" si="6"/>
        <v>45891</v>
      </c>
      <c r="AH18" s="24">
        <f t="shared" si="6"/>
        <v>45892</v>
      </c>
      <c r="AI18" s="24">
        <f t="shared" si="6"/>
        <v>45893</v>
      </c>
      <c r="AJ18" s="24">
        <f t="shared" si="6"/>
        <v>45894</v>
      </c>
      <c r="AK18" s="24">
        <f t="shared" si="6"/>
        <v>45895</v>
      </c>
      <c r="AL18" s="24">
        <f t="shared" si="6"/>
        <v>45896</v>
      </c>
      <c r="AM18" s="24">
        <f t="shared" si="6"/>
        <v>45897</v>
      </c>
      <c r="AN18" s="24">
        <f t="shared" si="6"/>
        <v>45898</v>
      </c>
      <c r="AO18" s="24">
        <f t="shared" si="6"/>
        <v>45899</v>
      </c>
      <c r="AP18" s="24">
        <f t="shared" si="6"/>
        <v>45900</v>
      </c>
      <c r="AQ18" s="24">
        <f t="shared" si="6"/>
        <v>45901</v>
      </c>
      <c r="AR18" s="24">
        <f t="shared" si="6"/>
        <v>45902</v>
      </c>
      <c r="AS18" s="24">
        <f t="shared" ref="AS18:BX18" si="7">IF(AR18&lt;$C$14,1+AR18,"")</f>
        <v>45903</v>
      </c>
      <c r="AT18" s="24">
        <f t="shared" si="7"/>
        <v>45904</v>
      </c>
      <c r="AU18" s="24">
        <f t="shared" si="7"/>
        <v>45905</v>
      </c>
      <c r="AV18" s="24">
        <f t="shared" si="7"/>
        <v>45906</v>
      </c>
      <c r="AW18" s="24">
        <f t="shared" si="7"/>
        <v>45907</v>
      </c>
      <c r="AX18" s="24">
        <f t="shared" si="7"/>
        <v>45908</v>
      </c>
      <c r="AY18" s="24">
        <f t="shared" si="7"/>
        <v>45909</v>
      </c>
      <c r="AZ18" s="24">
        <f t="shared" si="7"/>
        <v>45910</v>
      </c>
      <c r="BA18" s="24">
        <f t="shared" si="7"/>
        <v>45911</v>
      </c>
      <c r="BB18" s="24">
        <f t="shared" si="7"/>
        <v>45912</v>
      </c>
      <c r="BC18" s="24">
        <f t="shared" si="7"/>
        <v>45913</v>
      </c>
      <c r="BD18" s="24">
        <f t="shared" si="7"/>
        <v>45914</v>
      </c>
      <c r="BE18" s="24">
        <f t="shared" si="7"/>
        <v>45915</v>
      </c>
      <c r="BF18" s="24">
        <f t="shared" si="7"/>
        <v>45916</v>
      </c>
      <c r="BG18" s="24">
        <f t="shared" si="7"/>
        <v>45917</v>
      </c>
      <c r="BH18" s="24">
        <f t="shared" si="7"/>
        <v>45918</v>
      </c>
      <c r="BI18" s="24">
        <f t="shared" si="7"/>
        <v>45919</v>
      </c>
      <c r="BJ18" s="24">
        <f t="shared" si="7"/>
        <v>45920</v>
      </c>
      <c r="BK18" s="24">
        <f t="shared" si="7"/>
        <v>45921</v>
      </c>
      <c r="BL18" s="24">
        <f t="shared" si="7"/>
        <v>45922</v>
      </c>
      <c r="BM18" s="24">
        <f t="shared" si="7"/>
        <v>45923</v>
      </c>
      <c r="BN18" s="24">
        <f t="shared" si="7"/>
        <v>45924</v>
      </c>
      <c r="BO18" s="24">
        <f t="shared" si="7"/>
        <v>45925</v>
      </c>
      <c r="BP18" s="24">
        <f t="shared" si="7"/>
        <v>45926</v>
      </c>
      <c r="BQ18" s="24">
        <f t="shared" si="7"/>
        <v>45927</v>
      </c>
      <c r="BR18" s="24">
        <f t="shared" si="7"/>
        <v>45928</v>
      </c>
      <c r="BS18" s="24">
        <f t="shared" si="7"/>
        <v>45929</v>
      </c>
      <c r="BT18" s="24">
        <f t="shared" si="7"/>
        <v>45930</v>
      </c>
      <c r="BU18" s="24">
        <f t="shared" si="7"/>
        <v>45931</v>
      </c>
      <c r="BV18" s="24">
        <f t="shared" si="7"/>
        <v>45932</v>
      </c>
      <c r="BW18" s="24">
        <f t="shared" si="7"/>
        <v>45933</v>
      </c>
      <c r="BX18" s="24">
        <f t="shared" si="7"/>
        <v>45934</v>
      </c>
      <c r="BY18" s="24">
        <f t="shared" ref="BY18:DD18" si="8">IF(BX18&lt;$C$14,1+BX18,"")</f>
        <v>45935</v>
      </c>
      <c r="BZ18" s="24">
        <f t="shared" si="8"/>
        <v>45936</v>
      </c>
      <c r="CA18" s="24">
        <f t="shared" si="8"/>
        <v>45937</v>
      </c>
      <c r="CB18" s="24">
        <f t="shared" si="8"/>
        <v>45938</v>
      </c>
      <c r="CC18" s="24">
        <f t="shared" si="8"/>
        <v>45939</v>
      </c>
      <c r="CD18" s="24">
        <f t="shared" si="8"/>
        <v>45940</v>
      </c>
      <c r="CE18" s="24">
        <f t="shared" si="8"/>
        <v>45941</v>
      </c>
      <c r="CF18" s="24">
        <f t="shared" si="8"/>
        <v>45942</v>
      </c>
      <c r="CG18" s="24">
        <f t="shared" si="8"/>
        <v>45943</v>
      </c>
      <c r="CH18" s="24">
        <f t="shared" si="8"/>
        <v>45944</v>
      </c>
      <c r="CI18" s="24">
        <f t="shared" si="8"/>
        <v>45945</v>
      </c>
      <c r="CJ18" s="24">
        <f t="shared" si="8"/>
        <v>45946</v>
      </c>
      <c r="CK18" s="24">
        <f t="shared" si="8"/>
        <v>45947</v>
      </c>
      <c r="CL18" s="24">
        <f t="shared" si="8"/>
        <v>45948</v>
      </c>
      <c r="CM18" s="24">
        <f t="shared" si="8"/>
        <v>45949</v>
      </c>
      <c r="CN18" s="24">
        <f t="shared" si="8"/>
        <v>45950</v>
      </c>
      <c r="CO18" s="24">
        <f t="shared" si="8"/>
        <v>45951</v>
      </c>
      <c r="CP18" s="24">
        <f t="shared" si="8"/>
        <v>45952</v>
      </c>
      <c r="CQ18" s="24">
        <f t="shared" si="8"/>
        <v>45953</v>
      </c>
      <c r="CR18" s="24">
        <f t="shared" si="8"/>
        <v>45954</v>
      </c>
      <c r="CS18" s="24">
        <f t="shared" si="8"/>
        <v>45955</v>
      </c>
      <c r="CT18" s="24">
        <f t="shared" si="8"/>
        <v>45956</v>
      </c>
      <c r="CU18" s="24">
        <f t="shared" si="8"/>
        <v>45957</v>
      </c>
      <c r="CV18" s="24">
        <f t="shared" si="8"/>
        <v>45958</v>
      </c>
      <c r="CW18" s="24">
        <f t="shared" si="8"/>
        <v>45959</v>
      </c>
      <c r="CX18" s="24">
        <f t="shared" si="8"/>
        <v>45960</v>
      </c>
      <c r="CY18" s="24">
        <f t="shared" si="8"/>
        <v>45961</v>
      </c>
      <c r="CZ18" s="24">
        <f t="shared" si="8"/>
        <v>45962</v>
      </c>
      <c r="DA18" s="24">
        <f t="shared" si="8"/>
        <v>45963</v>
      </c>
      <c r="DB18" s="24">
        <f t="shared" si="8"/>
        <v>45964</v>
      </c>
      <c r="DC18" s="24">
        <f t="shared" si="8"/>
        <v>45965</v>
      </c>
      <c r="DD18" s="24">
        <f t="shared" si="8"/>
        <v>45966</v>
      </c>
      <c r="DE18" s="24">
        <f t="shared" ref="DE18:EJ18" si="9">IF(DD18&lt;$C$14,1+DD18,"")</f>
        <v>45967</v>
      </c>
      <c r="DF18" s="24">
        <f t="shared" si="9"/>
        <v>45968</v>
      </c>
      <c r="DG18" s="24">
        <f t="shared" si="9"/>
        <v>45969</v>
      </c>
      <c r="DH18" s="24">
        <f t="shared" si="9"/>
        <v>45970</v>
      </c>
      <c r="DI18" s="24">
        <f t="shared" si="9"/>
        <v>45971</v>
      </c>
      <c r="DJ18" s="24">
        <f t="shared" si="9"/>
        <v>45972</v>
      </c>
      <c r="DK18" s="24">
        <f t="shared" si="9"/>
        <v>45973</v>
      </c>
      <c r="DL18" s="24">
        <f t="shared" si="9"/>
        <v>45974</v>
      </c>
      <c r="DM18" s="24">
        <f t="shared" si="9"/>
        <v>45975</v>
      </c>
      <c r="DN18" s="24">
        <f t="shared" si="9"/>
        <v>45976</v>
      </c>
      <c r="DO18" s="24">
        <f t="shared" si="9"/>
        <v>45977</v>
      </c>
      <c r="DP18" s="24">
        <f t="shared" si="9"/>
        <v>45978</v>
      </c>
      <c r="DQ18" s="24">
        <f t="shared" si="9"/>
        <v>45979</v>
      </c>
      <c r="DR18" s="24">
        <f t="shared" si="9"/>
        <v>45980</v>
      </c>
      <c r="DS18" s="24">
        <f t="shared" si="9"/>
        <v>45981</v>
      </c>
      <c r="DT18" s="24">
        <f t="shared" si="9"/>
        <v>45982</v>
      </c>
      <c r="DU18" s="24">
        <f t="shared" si="9"/>
        <v>45983</v>
      </c>
      <c r="DV18" s="24">
        <f t="shared" si="9"/>
        <v>45984</v>
      </c>
      <c r="DW18" s="24">
        <f t="shared" si="9"/>
        <v>45985</v>
      </c>
      <c r="DX18" s="24">
        <f t="shared" si="9"/>
        <v>45986</v>
      </c>
      <c r="DY18" s="24">
        <f t="shared" si="9"/>
        <v>45987</v>
      </c>
      <c r="DZ18" s="24">
        <f t="shared" si="9"/>
        <v>45988</v>
      </c>
      <c r="EA18" s="24">
        <f t="shared" si="9"/>
        <v>45989</v>
      </c>
      <c r="EB18" s="24">
        <f t="shared" si="9"/>
        <v>45990</v>
      </c>
      <c r="EC18" s="24">
        <f t="shared" si="9"/>
        <v>45991</v>
      </c>
      <c r="ED18" s="24">
        <f t="shared" si="9"/>
        <v>45992</v>
      </c>
      <c r="EE18" s="24">
        <f t="shared" si="9"/>
        <v>45993</v>
      </c>
      <c r="EF18" s="24">
        <f t="shared" si="9"/>
        <v>45994</v>
      </c>
      <c r="EG18" s="24">
        <f t="shared" si="9"/>
        <v>45995</v>
      </c>
      <c r="EH18" s="24">
        <f t="shared" si="9"/>
        <v>45996</v>
      </c>
      <c r="EI18" s="24">
        <f t="shared" si="9"/>
        <v>45997</v>
      </c>
      <c r="EJ18" s="24">
        <f t="shared" si="9"/>
        <v>45998</v>
      </c>
      <c r="EK18" s="24">
        <f t="shared" ref="EK18:FQ18" si="10">IF(EJ18&lt;$C$14,1+EJ18,"")</f>
        <v>45999</v>
      </c>
      <c r="EL18" s="24">
        <f t="shared" si="10"/>
        <v>46000</v>
      </c>
      <c r="EM18" s="24">
        <f t="shared" si="10"/>
        <v>46001</v>
      </c>
      <c r="EN18" s="24">
        <f t="shared" si="10"/>
        <v>46002</v>
      </c>
      <c r="EO18" s="24">
        <f t="shared" si="10"/>
        <v>46003</v>
      </c>
      <c r="EP18" s="24">
        <f t="shared" si="10"/>
        <v>46004</v>
      </c>
      <c r="EQ18" s="24">
        <f t="shared" si="10"/>
        <v>46005</v>
      </c>
      <c r="ER18" s="24">
        <f t="shared" si="10"/>
        <v>46006</v>
      </c>
      <c r="ES18" s="24">
        <f t="shared" si="10"/>
        <v>46007</v>
      </c>
      <c r="ET18" s="24">
        <f t="shared" si="10"/>
        <v>46008</v>
      </c>
      <c r="EU18" s="24">
        <f t="shared" si="10"/>
        <v>46009</v>
      </c>
      <c r="EV18" s="24">
        <f t="shared" si="10"/>
        <v>46010</v>
      </c>
      <c r="EW18" s="24">
        <f t="shared" si="10"/>
        <v>46011</v>
      </c>
      <c r="EX18" s="24">
        <f t="shared" si="10"/>
        <v>46012</v>
      </c>
      <c r="EY18" s="24">
        <f t="shared" si="10"/>
        <v>46013</v>
      </c>
      <c r="EZ18" s="24">
        <f t="shared" si="10"/>
        <v>46014</v>
      </c>
      <c r="FA18" s="24">
        <f t="shared" si="10"/>
        <v>46015</v>
      </c>
      <c r="FB18" s="24">
        <f t="shared" si="10"/>
        <v>46016</v>
      </c>
      <c r="FC18" s="24">
        <f t="shared" si="10"/>
        <v>46017</v>
      </c>
      <c r="FD18" s="24">
        <f t="shared" si="10"/>
        <v>46018</v>
      </c>
      <c r="FE18" s="24" t="str">
        <f t="shared" si="10"/>
        <v/>
      </c>
      <c r="FF18" s="24" t="str">
        <f t="shared" si="10"/>
        <v/>
      </c>
      <c r="FG18" s="24" t="str">
        <f t="shared" si="10"/>
        <v/>
      </c>
      <c r="FH18" s="24" t="str">
        <f t="shared" si="10"/>
        <v/>
      </c>
      <c r="FI18" s="24" t="str">
        <f t="shared" si="10"/>
        <v/>
      </c>
      <c r="FJ18" s="24" t="str">
        <f t="shared" si="10"/>
        <v/>
      </c>
      <c r="FK18" s="24" t="str">
        <f t="shared" si="10"/>
        <v/>
      </c>
      <c r="FL18" s="24" t="str">
        <f t="shared" si="10"/>
        <v/>
      </c>
      <c r="FM18" s="24" t="str">
        <f t="shared" si="10"/>
        <v/>
      </c>
      <c r="FN18" s="24" t="str">
        <f t="shared" si="10"/>
        <v/>
      </c>
      <c r="FO18" s="24" t="str">
        <f t="shared" si="10"/>
        <v/>
      </c>
      <c r="FP18" s="24" t="str">
        <f t="shared" si="10"/>
        <v/>
      </c>
      <c r="FQ18" s="25" t="str">
        <f t="shared" si="10"/>
        <v/>
      </c>
    </row>
    <row r="19" spans="1:173" x14ac:dyDescent="0.2">
      <c r="A19" s="1">
        <v>1</v>
      </c>
      <c r="B19" s="1" t="s">
        <v>335</v>
      </c>
      <c r="C19" s="1" t="s">
        <v>467</v>
      </c>
      <c r="D19" s="1" t="s">
        <v>468</v>
      </c>
      <c r="E19" s="1" t="s">
        <v>58</v>
      </c>
      <c r="F19" s="1" t="s">
        <v>14</v>
      </c>
      <c r="G19" s="1">
        <v>0</v>
      </c>
      <c r="I19" s="6">
        <f>+COUNTA(L19:FB19)</f>
        <v>3</v>
      </c>
      <c r="J19" s="5">
        <f t="shared" ref="J19:J34" si="11">+_xlfn.XLOOKUP(1,L19:FB19,$L$18:$FB$18,"",0,1)</f>
        <v>45870</v>
      </c>
      <c r="K19" s="5">
        <f>+J19+I19-1</f>
        <v>45872</v>
      </c>
      <c r="L19" s="1">
        <v>1</v>
      </c>
      <c r="M19" s="1">
        <v>1</v>
      </c>
      <c r="N19" s="1">
        <v>1</v>
      </c>
    </row>
    <row r="20" spans="1:173" x14ac:dyDescent="0.2">
      <c r="A20" s="1">
        <v>1</v>
      </c>
      <c r="B20" s="1" t="s">
        <v>335</v>
      </c>
      <c r="C20" s="1" t="s">
        <v>467</v>
      </c>
      <c r="D20" s="1" t="s">
        <v>469</v>
      </c>
      <c r="E20" s="1" t="s">
        <v>339</v>
      </c>
      <c r="F20" s="1" t="s">
        <v>16</v>
      </c>
      <c r="G20" s="1">
        <v>100</v>
      </c>
      <c r="I20" s="6">
        <f t="shared" ref="I20:I44" si="12">+COUNTA(L20:FB20)</f>
        <v>6</v>
      </c>
      <c r="J20" s="5">
        <f t="shared" si="11"/>
        <v>45873</v>
      </c>
      <c r="K20" s="5">
        <f t="shared" ref="K20:K34" si="13">+J20+I20-1</f>
        <v>45878</v>
      </c>
      <c r="O20" s="1">
        <v>1</v>
      </c>
      <c r="P20" s="1">
        <v>1</v>
      </c>
      <c r="Q20" s="1">
        <v>1</v>
      </c>
      <c r="R20" s="1">
        <v>1</v>
      </c>
      <c r="S20" s="1">
        <v>1</v>
      </c>
      <c r="T20" s="1">
        <v>1</v>
      </c>
    </row>
    <row r="21" spans="1:173" x14ac:dyDescent="0.2">
      <c r="A21" s="1">
        <v>1</v>
      </c>
      <c r="B21" s="1" t="s">
        <v>335</v>
      </c>
      <c r="C21" s="1" t="s">
        <v>467</v>
      </c>
      <c r="D21" s="1" t="s">
        <v>471</v>
      </c>
      <c r="E21" s="1" t="s">
        <v>363</v>
      </c>
      <c r="F21" s="1" t="s">
        <v>15</v>
      </c>
      <c r="G21" s="1">
        <v>100</v>
      </c>
      <c r="I21" s="6">
        <f t="shared" si="12"/>
        <v>6</v>
      </c>
      <c r="J21" s="5">
        <f t="shared" si="11"/>
        <v>45879</v>
      </c>
      <c r="K21" s="5">
        <f t="shared" si="13"/>
        <v>45884</v>
      </c>
      <c r="U21" s="1">
        <v>1</v>
      </c>
      <c r="V21" s="1">
        <v>1</v>
      </c>
      <c r="W21" s="1">
        <v>1</v>
      </c>
      <c r="X21" s="1">
        <v>1</v>
      </c>
      <c r="Y21" s="1">
        <v>1</v>
      </c>
      <c r="Z21" s="1">
        <v>1</v>
      </c>
    </row>
    <row r="22" spans="1:173" x14ac:dyDescent="0.2">
      <c r="A22" s="1">
        <v>2</v>
      </c>
      <c r="B22" s="1" t="s">
        <v>336</v>
      </c>
      <c r="C22" s="1" t="s">
        <v>464</v>
      </c>
      <c r="D22" s="1" t="s">
        <v>470</v>
      </c>
      <c r="E22" s="1" t="s">
        <v>58</v>
      </c>
      <c r="F22" s="1" t="s">
        <v>14</v>
      </c>
      <c r="G22" s="1">
        <v>0</v>
      </c>
      <c r="I22" s="6">
        <f t="shared" si="12"/>
        <v>3</v>
      </c>
      <c r="J22" s="5">
        <f t="shared" si="11"/>
        <v>45885</v>
      </c>
      <c r="K22" s="5">
        <f t="shared" si="13"/>
        <v>45887</v>
      </c>
      <c r="AA22" s="1">
        <v>1</v>
      </c>
      <c r="AB22" s="1">
        <v>1</v>
      </c>
      <c r="AC22" s="1">
        <v>1</v>
      </c>
    </row>
    <row r="23" spans="1:173" x14ac:dyDescent="0.2">
      <c r="A23" s="1">
        <v>2</v>
      </c>
      <c r="B23" s="1" t="s">
        <v>336</v>
      </c>
      <c r="C23" s="1" t="s">
        <v>464</v>
      </c>
      <c r="D23" s="1" t="s">
        <v>472</v>
      </c>
      <c r="E23" s="1" t="s">
        <v>339</v>
      </c>
      <c r="F23" s="1" t="s">
        <v>16</v>
      </c>
      <c r="G23" s="1">
        <v>100</v>
      </c>
      <c r="I23" s="6">
        <f t="shared" si="12"/>
        <v>10</v>
      </c>
      <c r="J23" s="5">
        <f t="shared" si="11"/>
        <v>45887</v>
      </c>
      <c r="K23" s="5">
        <f t="shared" si="13"/>
        <v>45896</v>
      </c>
      <c r="AC23" s="1">
        <v>1</v>
      </c>
      <c r="AD23" s="1">
        <v>1</v>
      </c>
      <c r="AE23" s="1">
        <v>1</v>
      </c>
      <c r="AF23" s="1">
        <v>1</v>
      </c>
      <c r="AG23" s="1">
        <v>1</v>
      </c>
      <c r="AH23" s="1">
        <v>1</v>
      </c>
      <c r="AI23" s="1">
        <v>1</v>
      </c>
      <c r="AJ23" s="1">
        <v>1</v>
      </c>
      <c r="AK23" s="1">
        <v>1</v>
      </c>
      <c r="AL23" s="1">
        <v>1</v>
      </c>
    </row>
    <row r="24" spans="1:173" x14ac:dyDescent="0.2">
      <c r="A24" s="1">
        <v>2</v>
      </c>
      <c r="B24" s="1" t="s">
        <v>336</v>
      </c>
      <c r="C24" s="1" t="s">
        <v>464</v>
      </c>
      <c r="D24" s="1" t="s">
        <v>473</v>
      </c>
      <c r="E24" s="1" t="s">
        <v>363</v>
      </c>
      <c r="F24" s="1" t="s">
        <v>15</v>
      </c>
      <c r="G24" s="1">
        <v>100</v>
      </c>
      <c r="I24" s="6">
        <f t="shared" si="12"/>
        <v>13</v>
      </c>
      <c r="J24" s="5">
        <f t="shared" si="11"/>
        <v>45897</v>
      </c>
      <c r="K24" s="5">
        <f t="shared" si="13"/>
        <v>45909</v>
      </c>
      <c r="AM24" s="1">
        <v>1</v>
      </c>
      <c r="AN24" s="1">
        <v>1</v>
      </c>
      <c r="AO24" s="1">
        <v>1</v>
      </c>
      <c r="AP24" s="1">
        <v>1</v>
      </c>
      <c r="AQ24" s="1">
        <v>1</v>
      </c>
      <c r="AR24" s="1">
        <v>1</v>
      </c>
      <c r="AS24" s="1">
        <v>1</v>
      </c>
      <c r="AT24" s="1">
        <v>1</v>
      </c>
      <c r="AU24" s="1">
        <v>1</v>
      </c>
      <c r="AV24" s="1">
        <v>1</v>
      </c>
      <c r="AX24" s="1">
        <v>1</v>
      </c>
      <c r="AY24" s="1">
        <v>1</v>
      </c>
      <c r="AZ24" s="1">
        <v>1</v>
      </c>
    </row>
    <row r="25" spans="1:173" x14ac:dyDescent="0.2">
      <c r="A25" s="1">
        <v>3</v>
      </c>
      <c r="B25" s="1" t="s">
        <v>337</v>
      </c>
      <c r="C25" s="1" t="s">
        <v>465</v>
      </c>
      <c r="D25" s="1" t="s">
        <v>480</v>
      </c>
      <c r="E25" s="1" t="s">
        <v>58</v>
      </c>
      <c r="F25" s="1" t="s">
        <v>14</v>
      </c>
      <c r="G25" s="1">
        <v>0</v>
      </c>
      <c r="I25" s="6">
        <f t="shared" si="12"/>
        <v>2</v>
      </c>
      <c r="J25" s="5">
        <f t="shared" si="11"/>
        <v>45929</v>
      </c>
      <c r="K25" s="5">
        <f t="shared" si="13"/>
        <v>45930</v>
      </c>
      <c r="BS25" s="1">
        <v>1</v>
      </c>
      <c r="BT25" s="1">
        <v>1</v>
      </c>
    </row>
    <row r="26" spans="1:173" x14ac:dyDescent="0.2">
      <c r="A26" s="1">
        <v>3</v>
      </c>
      <c r="B26" s="1" t="s">
        <v>337</v>
      </c>
      <c r="C26" s="1" t="s">
        <v>465</v>
      </c>
      <c r="D26" s="1" t="s">
        <v>479</v>
      </c>
      <c r="E26" s="1" t="s">
        <v>339</v>
      </c>
      <c r="F26" s="1" t="s">
        <v>16</v>
      </c>
      <c r="G26" s="1">
        <v>100</v>
      </c>
      <c r="I26" s="6">
        <f t="shared" si="12"/>
        <v>4</v>
      </c>
      <c r="J26" s="5">
        <f t="shared" si="11"/>
        <v>45930</v>
      </c>
      <c r="K26" s="5">
        <f t="shared" si="13"/>
        <v>45933</v>
      </c>
      <c r="BT26" s="1">
        <v>1</v>
      </c>
      <c r="BU26" s="1">
        <v>1</v>
      </c>
      <c r="BV26" s="1">
        <v>1</v>
      </c>
      <c r="BW26" s="1">
        <v>1</v>
      </c>
    </row>
    <row r="27" spans="1:173" x14ac:dyDescent="0.2">
      <c r="A27" s="1">
        <v>3</v>
      </c>
      <c r="B27" s="1" t="s">
        <v>337</v>
      </c>
      <c r="C27" s="1" t="s">
        <v>465</v>
      </c>
      <c r="D27" s="1" t="s">
        <v>478</v>
      </c>
      <c r="E27" s="1" t="s">
        <v>363</v>
      </c>
      <c r="F27" s="1" t="s">
        <v>15</v>
      </c>
      <c r="G27" s="1">
        <v>100</v>
      </c>
      <c r="I27" s="6">
        <f t="shared" si="12"/>
        <v>3</v>
      </c>
      <c r="J27" s="5">
        <f t="shared" si="11"/>
        <v>45934</v>
      </c>
      <c r="K27" s="5">
        <f t="shared" si="13"/>
        <v>45936</v>
      </c>
      <c r="BX27" s="1">
        <v>1</v>
      </c>
      <c r="BY27" s="1">
        <v>1</v>
      </c>
      <c r="BZ27" s="1">
        <v>1</v>
      </c>
    </row>
    <row r="28" spans="1:173" x14ac:dyDescent="0.2">
      <c r="A28" s="1">
        <v>4</v>
      </c>
      <c r="B28" s="1" t="s">
        <v>338</v>
      </c>
      <c r="C28" s="1" t="s">
        <v>463</v>
      </c>
      <c r="D28" s="1" t="s">
        <v>474</v>
      </c>
      <c r="E28" s="1" t="s">
        <v>58</v>
      </c>
      <c r="F28" s="1" t="s">
        <v>16</v>
      </c>
      <c r="G28" s="1">
        <v>0</v>
      </c>
      <c r="I28" s="6">
        <f t="shared" si="12"/>
        <v>5</v>
      </c>
      <c r="J28" s="5">
        <f t="shared" si="11"/>
        <v>45937</v>
      </c>
      <c r="K28" s="5">
        <f t="shared" si="13"/>
        <v>45941</v>
      </c>
      <c r="CA28" s="1">
        <v>1</v>
      </c>
      <c r="CB28" s="1">
        <v>1</v>
      </c>
      <c r="CC28" s="1">
        <v>1</v>
      </c>
      <c r="CD28" s="1">
        <v>1</v>
      </c>
      <c r="CE28" s="1">
        <v>1</v>
      </c>
    </row>
    <row r="29" spans="1:173" x14ac:dyDescent="0.2">
      <c r="A29" s="1">
        <v>4</v>
      </c>
      <c r="B29" s="1" t="s">
        <v>338</v>
      </c>
      <c r="C29" s="1" t="s">
        <v>463</v>
      </c>
      <c r="D29" s="1" t="s">
        <v>476</v>
      </c>
      <c r="E29" s="1" t="s">
        <v>339</v>
      </c>
      <c r="F29" s="1" t="s">
        <v>15</v>
      </c>
      <c r="G29" s="1">
        <v>100</v>
      </c>
      <c r="I29" s="6">
        <f t="shared" si="12"/>
        <v>4</v>
      </c>
      <c r="J29" s="5">
        <f t="shared" si="11"/>
        <v>45942</v>
      </c>
      <c r="K29" s="5">
        <f t="shared" si="13"/>
        <v>45945</v>
      </c>
      <c r="CF29" s="1">
        <v>1</v>
      </c>
      <c r="CG29" s="1">
        <v>1</v>
      </c>
      <c r="CH29" s="1">
        <v>1</v>
      </c>
      <c r="CI29" s="1">
        <v>1</v>
      </c>
    </row>
    <row r="30" spans="1:173" x14ac:dyDescent="0.2">
      <c r="A30" s="1">
        <v>4</v>
      </c>
      <c r="B30" s="1" t="s">
        <v>338</v>
      </c>
      <c r="C30" s="1" t="s">
        <v>463</v>
      </c>
      <c r="D30" s="1" t="s">
        <v>475</v>
      </c>
      <c r="E30" s="1" t="s">
        <v>363</v>
      </c>
      <c r="F30" s="1" t="s">
        <v>15</v>
      </c>
      <c r="G30" s="1">
        <v>100</v>
      </c>
      <c r="I30" s="6">
        <f t="shared" si="12"/>
        <v>9</v>
      </c>
      <c r="J30" s="5">
        <f t="shared" si="11"/>
        <v>45946</v>
      </c>
      <c r="K30" s="5">
        <f>+J30+I30-1</f>
        <v>45954</v>
      </c>
      <c r="CJ30" s="1">
        <v>1</v>
      </c>
      <c r="CK30" s="1">
        <v>1</v>
      </c>
      <c r="CL30" s="1">
        <v>1</v>
      </c>
      <c r="CM30" s="1">
        <v>1</v>
      </c>
      <c r="CN30" s="1">
        <v>1</v>
      </c>
      <c r="CO30" s="1">
        <v>1</v>
      </c>
      <c r="CP30" s="1">
        <v>1</v>
      </c>
      <c r="CQ30" s="1">
        <v>1</v>
      </c>
      <c r="CR30" s="1">
        <v>1</v>
      </c>
    </row>
    <row r="31" spans="1:173" x14ac:dyDescent="0.2">
      <c r="A31" s="1">
        <v>5</v>
      </c>
      <c r="B31" s="1" t="s">
        <v>55</v>
      </c>
      <c r="C31" s="1" t="s">
        <v>466</v>
      </c>
      <c r="D31" s="1">
        <v>1</v>
      </c>
      <c r="E31" s="1" t="s">
        <v>340</v>
      </c>
      <c r="F31" s="1" t="s">
        <v>15</v>
      </c>
      <c r="G31" s="1">
        <v>100</v>
      </c>
      <c r="I31" s="6">
        <f t="shared" si="12"/>
        <v>8</v>
      </c>
      <c r="J31" s="5">
        <f t="shared" si="11"/>
        <v>45913</v>
      </c>
      <c r="K31" s="5">
        <f t="shared" si="13"/>
        <v>45920</v>
      </c>
      <c r="BC31" s="1">
        <v>1</v>
      </c>
      <c r="CS31" s="1">
        <v>1</v>
      </c>
      <c r="CT31" s="1">
        <v>1</v>
      </c>
      <c r="CU31" s="1">
        <v>1</v>
      </c>
      <c r="CV31" s="1">
        <v>1</v>
      </c>
      <c r="CW31" s="1">
        <v>1</v>
      </c>
      <c r="CX31" s="1">
        <v>1</v>
      </c>
      <c r="CY31" s="1">
        <v>1</v>
      </c>
    </row>
    <row r="32" spans="1:173" x14ac:dyDescent="0.2">
      <c r="A32" s="1">
        <v>5</v>
      </c>
      <c r="B32" s="1" t="s">
        <v>55</v>
      </c>
      <c r="C32" s="1" t="s">
        <v>466</v>
      </c>
      <c r="D32" s="1">
        <v>2</v>
      </c>
      <c r="E32" s="1" t="s">
        <v>341</v>
      </c>
      <c r="F32" s="1" t="s">
        <v>15</v>
      </c>
      <c r="G32" s="1">
        <v>100</v>
      </c>
      <c r="I32" s="6">
        <f t="shared" si="12"/>
        <v>1</v>
      </c>
      <c r="J32" s="5">
        <f t="shared" si="11"/>
        <v>45968</v>
      </c>
      <c r="K32" s="5">
        <f t="shared" si="13"/>
        <v>45968</v>
      </c>
      <c r="DF32" s="1">
        <v>1</v>
      </c>
    </row>
    <row r="33" spans="1:151" x14ac:dyDescent="0.2">
      <c r="A33" s="1">
        <v>5</v>
      </c>
      <c r="B33" s="1" t="s">
        <v>55</v>
      </c>
      <c r="C33" s="1" t="s">
        <v>466</v>
      </c>
      <c r="D33" s="1">
        <v>3</v>
      </c>
      <c r="E33" s="1" t="s">
        <v>342</v>
      </c>
      <c r="F33" s="1" t="s">
        <v>15</v>
      </c>
      <c r="G33" s="1">
        <v>100</v>
      </c>
      <c r="I33" s="6">
        <f t="shared" si="12"/>
        <v>1</v>
      </c>
      <c r="J33" s="5">
        <f t="shared" si="11"/>
        <v>45987</v>
      </c>
      <c r="K33" s="5">
        <f t="shared" si="13"/>
        <v>45987</v>
      </c>
      <c r="DY33" s="1">
        <v>1</v>
      </c>
    </row>
    <row r="34" spans="1:151" x14ac:dyDescent="0.2">
      <c r="A34" s="1">
        <v>5</v>
      </c>
      <c r="B34" s="1" t="s">
        <v>55</v>
      </c>
      <c r="C34" s="1" t="s">
        <v>466</v>
      </c>
      <c r="D34" s="1">
        <v>4</v>
      </c>
      <c r="E34" s="1" t="s">
        <v>343</v>
      </c>
      <c r="F34" s="1" t="s">
        <v>15</v>
      </c>
      <c r="G34" s="1">
        <v>100</v>
      </c>
      <c r="I34" s="6">
        <f t="shared" si="12"/>
        <v>1</v>
      </c>
      <c r="J34" s="5">
        <f t="shared" si="11"/>
        <v>46009</v>
      </c>
      <c r="K34" s="5">
        <f t="shared" si="13"/>
        <v>46009</v>
      </c>
      <c r="EU34" s="1">
        <v>1</v>
      </c>
    </row>
    <row r="35" spans="1:151" ht="13.5" thickBot="1" x14ac:dyDescent="0.25">
      <c r="A35" s="1">
        <v>9</v>
      </c>
      <c r="B35" s="18" t="s">
        <v>442</v>
      </c>
      <c r="C35" s="18" t="s">
        <v>355</v>
      </c>
      <c r="D35" s="1">
        <v>1</v>
      </c>
      <c r="E35" s="1" t="s">
        <v>345</v>
      </c>
      <c r="F35" s="1" t="s">
        <v>14</v>
      </c>
      <c r="G35" s="1">
        <v>0</v>
      </c>
      <c r="I35" s="6">
        <f t="shared" si="12"/>
        <v>1</v>
      </c>
      <c r="J35" s="5">
        <f t="shared" ref="J35:J42" si="14">+_xlfn.XLOOKUP(1,L35:FB35,$L$18:$FB$18,"",0,1)</f>
        <v>45875</v>
      </c>
      <c r="K35" s="5">
        <f t="shared" ref="K35:K42" si="15">+J35+I35-1</f>
        <v>45875</v>
      </c>
      <c r="Q35" s="1">
        <v>1</v>
      </c>
    </row>
    <row r="36" spans="1:151" ht="13.5" thickBot="1" x14ac:dyDescent="0.25">
      <c r="A36" s="1">
        <v>9</v>
      </c>
      <c r="B36" s="18" t="s">
        <v>442</v>
      </c>
      <c r="C36" s="18" t="s">
        <v>356</v>
      </c>
      <c r="D36" s="1">
        <v>2</v>
      </c>
      <c r="E36" s="1" t="s">
        <v>345</v>
      </c>
      <c r="F36" s="1" t="s">
        <v>14</v>
      </c>
      <c r="G36" s="1">
        <v>0</v>
      </c>
      <c r="I36" s="6">
        <f t="shared" si="12"/>
        <v>1</v>
      </c>
      <c r="J36" s="5">
        <f t="shared" si="14"/>
        <v>45882</v>
      </c>
      <c r="K36" s="5">
        <f t="shared" si="15"/>
        <v>45882</v>
      </c>
      <c r="X36" s="1">
        <v>1</v>
      </c>
    </row>
    <row r="37" spans="1:151" ht="13.5" thickBot="1" x14ac:dyDescent="0.25">
      <c r="A37" s="1">
        <v>9</v>
      </c>
      <c r="B37" s="18" t="s">
        <v>442</v>
      </c>
      <c r="C37" s="18" t="s">
        <v>357</v>
      </c>
      <c r="D37" s="1">
        <v>3</v>
      </c>
      <c r="E37" s="1" t="s">
        <v>345</v>
      </c>
      <c r="F37" s="1" t="s">
        <v>14</v>
      </c>
      <c r="G37" s="1">
        <v>0</v>
      </c>
      <c r="I37" s="6">
        <f t="shared" si="12"/>
        <v>1</v>
      </c>
      <c r="J37" s="5">
        <f t="shared" si="14"/>
        <v>45889</v>
      </c>
      <c r="K37" s="5">
        <f t="shared" si="15"/>
        <v>45889</v>
      </c>
      <c r="AE37" s="1">
        <v>1</v>
      </c>
    </row>
    <row r="38" spans="1:151" ht="13.5" thickBot="1" x14ac:dyDescent="0.25">
      <c r="A38" s="1">
        <v>9</v>
      </c>
      <c r="B38" s="18" t="s">
        <v>442</v>
      </c>
      <c r="C38" s="18" t="s">
        <v>358</v>
      </c>
      <c r="D38" s="1">
        <v>4</v>
      </c>
      <c r="E38" s="1" t="s">
        <v>345</v>
      </c>
      <c r="F38" s="1" t="s">
        <v>14</v>
      </c>
      <c r="G38" s="1">
        <v>0</v>
      </c>
      <c r="I38" s="6">
        <f t="shared" si="12"/>
        <v>1</v>
      </c>
      <c r="J38" s="5">
        <f t="shared" si="14"/>
        <v>45896</v>
      </c>
      <c r="K38" s="5">
        <f t="shared" si="15"/>
        <v>45896</v>
      </c>
      <c r="AL38" s="1">
        <v>1</v>
      </c>
    </row>
    <row r="39" spans="1:151" ht="13.5" thickBot="1" x14ac:dyDescent="0.25">
      <c r="A39" s="1">
        <v>9</v>
      </c>
      <c r="B39" s="18" t="s">
        <v>442</v>
      </c>
      <c r="C39" s="18" t="s">
        <v>359</v>
      </c>
      <c r="D39" s="1">
        <v>5</v>
      </c>
      <c r="E39" s="1" t="s">
        <v>345</v>
      </c>
      <c r="F39" s="1" t="s">
        <v>14</v>
      </c>
      <c r="G39" s="1">
        <v>0</v>
      </c>
      <c r="I39" s="6">
        <f t="shared" si="12"/>
        <v>1</v>
      </c>
      <c r="J39" s="5">
        <f t="shared" si="14"/>
        <v>45903</v>
      </c>
      <c r="K39" s="5">
        <f t="shared" si="15"/>
        <v>45903</v>
      </c>
      <c r="AS39" s="1">
        <v>1</v>
      </c>
    </row>
    <row r="40" spans="1:151" ht="13.5" thickBot="1" x14ac:dyDescent="0.25">
      <c r="A40" s="1">
        <v>9</v>
      </c>
      <c r="B40" s="18" t="s">
        <v>442</v>
      </c>
      <c r="C40" s="18" t="s">
        <v>360</v>
      </c>
      <c r="D40" s="1">
        <v>6</v>
      </c>
      <c r="E40" s="1" t="s">
        <v>345</v>
      </c>
      <c r="F40" s="1" t="s">
        <v>14</v>
      </c>
      <c r="G40" s="1">
        <v>0</v>
      </c>
      <c r="I40" s="6">
        <f t="shared" si="12"/>
        <v>1</v>
      </c>
      <c r="J40" s="5">
        <f t="shared" si="14"/>
        <v>45931</v>
      </c>
      <c r="K40" s="5">
        <f t="shared" si="15"/>
        <v>45931</v>
      </c>
      <c r="BU40" s="1">
        <v>1</v>
      </c>
    </row>
    <row r="41" spans="1:151" ht="13.5" thickBot="1" x14ac:dyDescent="0.25">
      <c r="A41" s="1">
        <v>9</v>
      </c>
      <c r="B41" s="18" t="s">
        <v>442</v>
      </c>
      <c r="C41" s="18" t="s">
        <v>361</v>
      </c>
      <c r="D41" s="1">
        <v>7</v>
      </c>
      <c r="E41" s="1" t="s">
        <v>345</v>
      </c>
      <c r="F41" s="1" t="s">
        <v>14</v>
      </c>
      <c r="G41" s="1">
        <v>0</v>
      </c>
      <c r="I41" s="6">
        <f t="shared" si="12"/>
        <v>1</v>
      </c>
      <c r="J41" s="5">
        <f t="shared" si="14"/>
        <v>45938</v>
      </c>
      <c r="K41" s="5">
        <f t="shared" si="15"/>
        <v>45938</v>
      </c>
      <c r="CB41" s="1">
        <v>1</v>
      </c>
    </row>
    <row r="42" spans="1:151" ht="13.5" thickBot="1" x14ac:dyDescent="0.25">
      <c r="A42" s="1">
        <v>9</v>
      </c>
      <c r="B42" s="18" t="s">
        <v>442</v>
      </c>
      <c r="C42" s="18" t="s">
        <v>364</v>
      </c>
      <c r="D42" s="1">
        <v>8</v>
      </c>
      <c r="E42" s="1" t="s">
        <v>345</v>
      </c>
      <c r="F42" s="1" t="s">
        <v>14</v>
      </c>
      <c r="G42" s="1">
        <v>0</v>
      </c>
      <c r="I42" s="6">
        <f t="shared" si="12"/>
        <v>1</v>
      </c>
      <c r="J42" s="5">
        <f t="shared" si="14"/>
        <v>45945</v>
      </c>
      <c r="K42" s="5">
        <f t="shared" si="15"/>
        <v>45945</v>
      </c>
      <c r="CI42" s="1">
        <v>1</v>
      </c>
    </row>
    <row r="43" spans="1:151" ht="13.5" thickBot="1" x14ac:dyDescent="0.25">
      <c r="A43" s="1">
        <v>9</v>
      </c>
      <c r="B43" s="18" t="s">
        <v>442</v>
      </c>
      <c r="C43" s="18" t="s">
        <v>453</v>
      </c>
      <c r="D43" s="1">
        <v>9</v>
      </c>
      <c r="E43" s="1" t="s">
        <v>345</v>
      </c>
      <c r="F43" s="1" t="s">
        <v>14</v>
      </c>
      <c r="G43" s="1">
        <v>0</v>
      </c>
      <c r="I43" s="6">
        <f t="shared" si="12"/>
        <v>1</v>
      </c>
      <c r="J43" s="5">
        <f t="shared" ref="J43:J44" si="16">+_xlfn.XLOOKUP(1,L43:FB43,$L$18:$FB$18,"",0,1)</f>
        <v>45952</v>
      </c>
      <c r="K43" s="5">
        <f t="shared" ref="K43:K44" si="17">+J43+I43-1</f>
        <v>45952</v>
      </c>
      <c r="CP43" s="1">
        <v>1</v>
      </c>
    </row>
    <row r="44" spans="1:151" ht="13.5" thickBot="1" x14ac:dyDescent="0.25">
      <c r="A44" s="1">
        <v>9</v>
      </c>
      <c r="B44" s="18" t="s">
        <v>442</v>
      </c>
      <c r="C44" s="18" t="s">
        <v>454</v>
      </c>
      <c r="D44" s="1">
        <v>10</v>
      </c>
      <c r="E44" s="1" t="s">
        <v>345</v>
      </c>
      <c r="F44" s="1" t="s">
        <v>14</v>
      </c>
      <c r="G44" s="1">
        <v>0</v>
      </c>
      <c r="I44" s="6">
        <f t="shared" si="12"/>
        <v>1</v>
      </c>
      <c r="J44" s="5">
        <f t="shared" si="16"/>
        <v>45959</v>
      </c>
      <c r="K44" s="5">
        <f t="shared" si="17"/>
        <v>45959</v>
      </c>
      <c r="CW44" s="1">
        <v>1</v>
      </c>
    </row>
    <row r="45" spans="1:151" x14ac:dyDescent="0.2">
      <c r="I45" s="6"/>
      <c r="J45" s="5"/>
      <c r="K45" s="5"/>
    </row>
    <row r="46" spans="1:151" x14ac:dyDescent="0.2">
      <c r="B46" s="1" t="s">
        <v>442</v>
      </c>
      <c r="D46" s="1" t="s">
        <v>440</v>
      </c>
      <c r="E46" s="1" t="s">
        <v>441</v>
      </c>
      <c r="F46" s="1" t="s">
        <v>451</v>
      </c>
    </row>
    <row r="47" spans="1:151" ht="15.75" thickBot="1" x14ac:dyDescent="0.3">
      <c r="B47" s="18" t="s">
        <v>443</v>
      </c>
      <c r="C47" s="60"/>
      <c r="D47" s="58">
        <f>+J35</f>
        <v>45875</v>
      </c>
      <c r="E47" s="58">
        <f>+K35</f>
        <v>45875</v>
      </c>
      <c r="F47" s="59" t="s">
        <v>452</v>
      </c>
    </row>
    <row r="48" spans="1:151" ht="13.5" thickBot="1" x14ac:dyDescent="0.25">
      <c r="B48" s="18" t="s">
        <v>444</v>
      </c>
      <c r="C48" s="60"/>
      <c r="D48" s="58">
        <f t="shared" ref="D48:E48" si="18">+J36</f>
        <v>45882</v>
      </c>
      <c r="E48" s="58">
        <f t="shared" si="18"/>
        <v>45882</v>
      </c>
    </row>
    <row r="49" spans="2:78" ht="13.5" thickBot="1" x14ac:dyDescent="0.25">
      <c r="B49" s="18" t="s">
        <v>445</v>
      </c>
      <c r="C49" s="60"/>
      <c r="D49" s="58">
        <f t="shared" ref="D49:E49" si="19">+J37</f>
        <v>45889</v>
      </c>
      <c r="E49" s="58">
        <f t="shared" si="19"/>
        <v>45889</v>
      </c>
    </row>
    <row r="50" spans="2:78" ht="13.5" thickBot="1" x14ac:dyDescent="0.25">
      <c r="B50" s="18" t="s">
        <v>446</v>
      </c>
      <c r="C50" s="60"/>
      <c r="D50" s="58">
        <f t="shared" ref="D50:E50" si="20">+J38</f>
        <v>45896</v>
      </c>
      <c r="E50" s="58">
        <f t="shared" si="20"/>
        <v>45896</v>
      </c>
    </row>
    <row r="51" spans="2:78" ht="13.5" thickBot="1" x14ac:dyDescent="0.25">
      <c r="B51" s="18" t="s">
        <v>447</v>
      </c>
      <c r="C51" s="60"/>
      <c r="D51" s="58">
        <f t="shared" ref="D51:E51" si="21">+J39</f>
        <v>45903</v>
      </c>
      <c r="E51" s="58">
        <f t="shared" si="21"/>
        <v>45903</v>
      </c>
    </row>
    <row r="52" spans="2:78" ht="13.5" thickBot="1" x14ac:dyDescent="0.25">
      <c r="B52" s="18" t="s">
        <v>448</v>
      </c>
      <c r="C52" s="60"/>
      <c r="D52" s="58">
        <f t="shared" ref="D52:E52" si="22">+J40</f>
        <v>45931</v>
      </c>
      <c r="E52" s="58">
        <f t="shared" si="22"/>
        <v>45931</v>
      </c>
    </row>
    <row r="53" spans="2:78" ht="13.5" thickBot="1" x14ac:dyDescent="0.25">
      <c r="B53" s="18" t="s">
        <v>449</v>
      </c>
      <c r="C53" s="60"/>
      <c r="D53" s="58">
        <f t="shared" ref="D53:E53" si="23">+J41</f>
        <v>45938</v>
      </c>
      <c r="E53" s="58">
        <f t="shared" si="23"/>
        <v>45938</v>
      </c>
    </row>
    <row r="54" spans="2:78" ht="13.5" thickBot="1" x14ac:dyDescent="0.25">
      <c r="B54" s="18" t="s">
        <v>450</v>
      </c>
      <c r="C54" s="60"/>
      <c r="D54" s="58">
        <f t="shared" ref="D54:E54" si="24">+J42</f>
        <v>45945</v>
      </c>
      <c r="E54" s="58">
        <f t="shared" si="24"/>
        <v>45945</v>
      </c>
    </row>
    <row r="55" spans="2:78" ht="13.5" thickBot="1" x14ac:dyDescent="0.25">
      <c r="B55" s="18" t="s">
        <v>455</v>
      </c>
      <c r="C55" s="60"/>
      <c r="D55" s="58">
        <f t="shared" ref="D55:E55" si="25">+J43</f>
        <v>45952</v>
      </c>
      <c r="E55" s="58">
        <f t="shared" si="25"/>
        <v>45952</v>
      </c>
    </row>
    <row r="56" spans="2:78" ht="13.5" thickBot="1" x14ac:dyDescent="0.25">
      <c r="B56" s="18" t="s">
        <v>456</v>
      </c>
      <c r="C56" s="60"/>
      <c r="D56" s="58">
        <f t="shared" ref="D56:E56" si="26">+J44</f>
        <v>45959</v>
      </c>
      <c r="E56" s="58">
        <f t="shared" si="26"/>
        <v>45959</v>
      </c>
    </row>
    <row r="63" spans="2:78" x14ac:dyDescent="0.2">
      <c r="BS63" s="1">
        <v>1</v>
      </c>
    </row>
    <row r="64" spans="2:78" x14ac:dyDescent="0.2">
      <c r="BZ64" s="1">
        <v>1</v>
      </c>
    </row>
    <row r="65" spans="85:92" x14ac:dyDescent="0.2">
      <c r="CG65" s="1">
        <v>1</v>
      </c>
    </row>
    <row r="66" spans="85:92" x14ac:dyDescent="0.2">
      <c r="CN66" s="1">
        <v>1</v>
      </c>
    </row>
  </sheetData>
  <autoFilter ref="A18:FB35" xr:uid="{00000000-0001-0000-0000-000000000000}"/>
  <phoneticPr fontId="3" type="noConversion"/>
  <conditionalFormatting sqref="A20:J20 A21:D21 F21:H21 J21 A23:H23 L23:EV24 A24:D24 A26:H26 J26:J27 L26:EV27 A27:D27 E29 A29:C30 F29:H30 J29:J30 L29:EV30 A34:H34 J34:J45">
    <cfRule type="expression" dxfId="50" priority="11">
      <formula>#REF!-$A20=1</formula>
    </cfRule>
  </conditionalFormatting>
  <conditionalFormatting sqref="A19:K19 A20:H28 I20:K42 A29:C31 E29:H31 A32:H34 F35:H44 G43:K45">
    <cfRule type="expression" dxfId="49" priority="96">
      <formula>$A19=6</formula>
    </cfRule>
    <cfRule type="expression" dxfId="48" priority="97">
      <formula>$A19=4</formula>
    </cfRule>
    <cfRule type="expression" dxfId="47" priority="98">
      <formula>OR($A19=3,$A19=5)</formula>
    </cfRule>
    <cfRule type="expression" dxfId="46" priority="99">
      <formula>$A19=2</formula>
    </cfRule>
    <cfRule type="expression" dxfId="45" priority="100">
      <formula>$A19=1</formula>
    </cfRule>
  </conditionalFormatting>
  <conditionalFormatting sqref="A19:EV19 J20:K44 I21:I44 A22:H22 L22:EV22 A25:H25 L25:EV25 A28:H28 L28:EV28 A31:C31 E31:H31 L31:EV33 A32:H33 C32:C34">
    <cfRule type="expression" dxfId="44" priority="37">
      <formula>$A20-$A19=1</formula>
    </cfRule>
  </conditionalFormatting>
  <conditionalFormatting sqref="C20:C21">
    <cfRule type="expression" dxfId="43" priority="1">
      <formula>$A21-$A20=1</formula>
    </cfRule>
  </conditionalFormatting>
  <conditionalFormatting sqref="C23:C24">
    <cfRule type="expression" dxfId="42" priority="3">
      <formula>$A24-$A23=1</formula>
    </cfRule>
  </conditionalFormatting>
  <conditionalFormatting sqref="C26:C27">
    <cfRule type="expression" dxfId="41" priority="2">
      <formula>$A27-$A26=1</formula>
    </cfRule>
  </conditionalFormatting>
  <conditionalFormatting sqref="C29:C30">
    <cfRule type="expression" dxfId="40" priority="4">
      <formula>$A30-$A29=1</formula>
    </cfRule>
  </conditionalFormatting>
  <conditionalFormatting sqref="D3:D11">
    <cfRule type="containsText" dxfId="39" priority="36" operator="containsText" text="Sí">
      <formula>NOT(ISERROR(SEARCH("Sí",D3)))</formula>
    </cfRule>
  </conditionalFormatting>
  <conditionalFormatting sqref="D29">
    <cfRule type="expression" dxfId="38" priority="386">
      <formula>$A30=4</formula>
    </cfRule>
    <cfRule type="expression" dxfId="37" priority="385">
      <formula>$A30=6</formula>
    </cfRule>
    <cfRule type="expression" dxfId="36" priority="9">
      <formula>#REF!-$A30=1</formula>
    </cfRule>
    <cfRule type="expression" dxfId="35" priority="387">
      <formula>OR($A30=3,$A30=5)</formula>
    </cfRule>
    <cfRule type="expression" dxfId="34" priority="388">
      <formula>$A30=2</formula>
    </cfRule>
    <cfRule type="expression" dxfId="33" priority="389">
      <formula>$A30=1</formula>
    </cfRule>
  </conditionalFormatting>
  <conditionalFormatting sqref="D30">
    <cfRule type="expression" dxfId="32" priority="391">
      <formula>$A32-$A31=1</formula>
    </cfRule>
    <cfRule type="expression" dxfId="31" priority="378">
      <formula>$A29=2</formula>
    </cfRule>
    <cfRule type="expression" dxfId="30" priority="377">
      <formula>OR($A29=3,$A29=5)</formula>
    </cfRule>
    <cfRule type="expression" dxfId="29" priority="376">
      <formula>$A29=4</formula>
    </cfRule>
    <cfRule type="expression" dxfId="28" priority="375">
      <formula>$A29=6</formula>
    </cfRule>
    <cfRule type="expression" dxfId="27" priority="369">
      <formula>#REF!-$A29=1</formula>
    </cfRule>
    <cfRule type="expression" dxfId="26" priority="379">
      <formula>$A29=1</formula>
    </cfRule>
  </conditionalFormatting>
  <conditionalFormatting sqref="E21">
    <cfRule type="expression" dxfId="25" priority="20">
      <formula>$A22-$A21=1</formula>
    </cfRule>
  </conditionalFormatting>
  <conditionalFormatting sqref="E24">
    <cfRule type="expression" dxfId="24" priority="8">
      <formula>$A25-$A24=1</formula>
    </cfRule>
  </conditionalFormatting>
  <conditionalFormatting sqref="E27">
    <cfRule type="expression" dxfId="23" priority="7">
      <formula>$A28-$A27=1</formula>
    </cfRule>
  </conditionalFormatting>
  <conditionalFormatting sqref="E30">
    <cfRule type="expression" dxfId="22" priority="6">
      <formula>$A31-$A30=1</formula>
    </cfRule>
  </conditionalFormatting>
  <conditionalFormatting sqref="F35:F44">
    <cfRule type="expression" dxfId="21" priority="5">
      <formula>$A36-$A35=1</formula>
    </cfRule>
  </conditionalFormatting>
  <conditionalFormatting sqref="F24:H24">
    <cfRule type="expression" dxfId="20" priority="29">
      <formula>#REF!-$A24=1</formula>
    </cfRule>
  </conditionalFormatting>
  <conditionalFormatting sqref="F27:H27">
    <cfRule type="expression" dxfId="19" priority="27">
      <formula>#REF!-$A27=1</formula>
    </cfRule>
  </conditionalFormatting>
  <conditionalFormatting sqref="H6:I11">
    <cfRule type="expression" dxfId="18" priority="341">
      <formula>#REF!="1era etapa"</formula>
    </cfRule>
    <cfRule type="expression" dxfId="17" priority="340">
      <formula>#REF!="2da etapa"</formula>
    </cfRule>
  </conditionalFormatting>
  <conditionalFormatting sqref="H12:I14">
    <cfRule type="expression" dxfId="16" priority="40">
      <formula>$I12="1era etapa"</formula>
    </cfRule>
    <cfRule type="expression" dxfId="15" priority="39">
      <formula>$I12="2da etapa"</formula>
    </cfRule>
  </conditionalFormatting>
  <conditionalFormatting sqref="I44:K45">
    <cfRule type="expression" dxfId="14" priority="343">
      <formula>$A46-$A44=1</formula>
    </cfRule>
  </conditionalFormatting>
  <conditionalFormatting sqref="J23:J24">
    <cfRule type="expression" dxfId="13" priority="254">
      <formula>#REF!-$A23=1</formula>
    </cfRule>
  </conditionalFormatting>
  <conditionalFormatting sqref="L16:EV17 L15:FQ15">
    <cfRule type="colorScale" priority="110">
      <colorScale>
        <cfvo type="min"/>
        <cfvo type="percentile" val="50"/>
        <cfvo type="max"/>
        <color theme="9" tint="0.39997558519241921"/>
        <color theme="8" tint="0.39997558519241921"/>
        <color theme="5" tint="0.39997558519241921"/>
      </colorScale>
    </cfRule>
  </conditionalFormatting>
  <conditionalFormatting sqref="L18:EV18">
    <cfRule type="colorScale" priority="109">
      <colorScale>
        <cfvo type="formula" val="&quot;MES(F$8)=8&quot;"/>
        <cfvo type="formula" val="&quot;MES(F$8)&quot;"/>
        <cfvo type="formula" val="&quot;MES(F$8)&quot;"/>
        <color rgb="FFF8696B"/>
        <color rgb="FFFFEB84"/>
        <color rgb="FF63BE7B"/>
      </colorScale>
    </cfRule>
  </conditionalFormatting>
  <conditionalFormatting sqref="L18:EV45">
    <cfRule type="expression" dxfId="12" priority="13">
      <formula>OR(L$6=1,L$6=7)</formula>
    </cfRule>
  </conditionalFormatting>
  <conditionalFormatting sqref="L19:EV45">
    <cfRule type="cellIs" dxfId="11" priority="362" operator="equal">
      <formula>1</formula>
    </cfRule>
    <cfRule type="expression" dxfId="10" priority="363">
      <formula>AND(L$18&gt;=$B$10,L$18&lt;=$C$10)</formula>
    </cfRule>
    <cfRule type="expression" dxfId="9" priority="364">
      <formula>AND(L$18&gt;=$B$11,L$18&lt;=$C$11)</formula>
    </cfRule>
    <cfRule type="expression" dxfId="8" priority="365">
      <formula>AND(L$18&gt;=$B$12,L$18&lt;=$C$12)</formula>
    </cfRule>
    <cfRule type="expression" dxfId="7" priority="366">
      <formula>AND(L$18&gt;=$B$14,L$18&lt;=$C$14)</formula>
    </cfRule>
    <cfRule type="expression" dxfId="6" priority="367">
      <formula>AND(L$18&gt;=$B$13,L$18&lt;=$C$13)</formula>
    </cfRule>
  </conditionalFormatting>
  <conditionalFormatting sqref="L20:EV21">
    <cfRule type="expression" dxfId="5" priority="183">
      <formula>#REF!-$A20=1</formula>
    </cfRule>
  </conditionalFormatting>
  <dataValidations count="2">
    <dataValidation type="list" allowBlank="1" showInputMessage="1" showErrorMessage="1" sqref="B3" xr:uid="{7F76F94F-DE34-4F43-BF5F-C01CC9AFAD75}">
      <formula1>"Virtual,Presencial,Híbrido"</formula1>
    </dataValidation>
    <dataValidation type="list" allowBlank="1" showInputMessage="1" showErrorMessage="1" sqref="D3:D11" xr:uid="{4F348A4A-69D1-449E-9023-28704D430CA7}">
      <formula1>"Sí,No"</formula1>
    </dataValidation>
  </dataValidations>
  <hyperlinks>
    <hyperlink ref="F47" r:id="rId1" xr:uid="{DA15AE55-A369-4D72-9193-7EC4BA0A824F}"/>
  </hyperlinks>
  <pageMargins left="0.7" right="0.7" top="0.75" bottom="0.75" header="0.3" footer="0.3"/>
  <pageSetup orientation="portrait" verticalDpi="300" r:id="rId2"/>
  <extLst>
    <ext xmlns:x14="http://schemas.microsoft.com/office/spreadsheetml/2009/9/main" uri="{CCE6A557-97BC-4b89-ADB6-D9C93CAAB3DF}">
      <x14:dataValidations xmlns:xm="http://schemas.microsoft.com/office/excel/2006/main" count="1">
        <x14:dataValidation type="list" allowBlank="1" showInputMessage="1" showErrorMessage="1" xr:uid="{B4D589D4-3A48-46AD-A51C-B4B929F7C9C6}">
          <x14:formula1>
            <xm:f>materias2023!$C$2:$C$164</xm:f>
          </x14:formula1>
          <xm:sqref>B1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7164-3FFE-4B79-B305-B97FEB19F79C}">
  <sheetPr codeName="Hoja28"/>
  <dimension ref="A1:K13"/>
  <sheetViews>
    <sheetView zoomScale="85" zoomScaleNormal="85" workbookViewId="0">
      <selection activeCell="C6" sqref="C6"/>
    </sheetView>
  </sheetViews>
  <sheetFormatPr baseColWidth="10" defaultColWidth="11.5703125" defaultRowHeight="15" x14ac:dyDescent="0.25"/>
  <cols>
    <col min="1" max="1" width="20.42578125" bestFit="1" customWidth="1"/>
    <col min="3" max="3" width="255.7109375" bestFit="1" customWidth="1"/>
    <col min="4" max="4" width="30.140625" bestFit="1" customWidth="1"/>
    <col min="6" max="6" width="50.28515625" customWidth="1"/>
    <col min="7" max="7" width="91" bestFit="1" customWidth="1"/>
    <col min="8" max="9" width="11.85546875" customWidth="1"/>
    <col min="10" max="10" width="11" bestFit="1" customWidth="1"/>
  </cols>
  <sheetData>
    <row r="1" spans="1:11" x14ac:dyDescent="0.25">
      <c r="A1" s="19" t="s">
        <v>333</v>
      </c>
      <c r="B1" s="2" t="s">
        <v>7</v>
      </c>
      <c r="C1" s="2" t="s">
        <v>23</v>
      </c>
      <c r="D1" s="2" t="s">
        <v>21</v>
      </c>
      <c r="E1" s="2" t="s">
        <v>10</v>
      </c>
      <c r="F1" t="s">
        <v>9</v>
      </c>
      <c r="G1" t="s">
        <v>22</v>
      </c>
      <c r="H1" t="s">
        <v>30</v>
      </c>
      <c r="I1" t="s">
        <v>48</v>
      </c>
      <c r="J1" t="s">
        <v>49</v>
      </c>
      <c r="K1" t="s">
        <v>48</v>
      </c>
    </row>
    <row r="2" spans="1:11" x14ac:dyDescent="0.25">
      <c r="A2" t="str">
        <f>+cronograma!$B$1</f>
        <v>Analítica de Big Data</v>
      </c>
      <c r="B2" t="s">
        <v>17</v>
      </c>
      <c r="C2" t="s">
        <v>350</v>
      </c>
      <c r="D2" t="s">
        <v>346</v>
      </c>
      <c r="E2">
        <v>1</v>
      </c>
      <c r="F2" t="s">
        <v>35</v>
      </c>
      <c r="G2" s="3" t="s">
        <v>365</v>
      </c>
      <c r="H2" t="str">
        <f>+_xlfn.CONCAT(Tabla5[[#This Row],[Unidad]],"-",Tabla5[[#This Row],[Nro.]])</f>
        <v>Unidad 1-1</v>
      </c>
      <c r="I2" t="str">
        <f>+_xlfn.CONCAT(Tabla5[[#This Row],[Unidad]],"-",Tabla5[[#This Row],[Nro. Act.]])</f>
        <v>Unidad 1-1</v>
      </c>
      <c r="J2">
        <v>1</v>
      </c>
    </row>
    <row r="3" spans="1:11" x14ac:dyDescent="0.25">
      <c r="A3" t="str">
        <f>+cronograma!$B$1</f>
        <v>Analítica de Big Data</v>
      </c>
      <c r="B3" t="s">
        <v>17</v>
      </c>
      <c r="C3" t="s">
        <v>350</v>
      </c>
      <c r="D3" t="s">
        <v>346</v>
      </c>
      <c r="E3">
        <v>2</v>
      </c>
      <c r="F3" t="s">
        <v>36</v>
      </c>
      <c r="G3" s="3" t="s">
        <v>366</v>
      </c>
      <c r="H3" t="str">
        <f>+_xlfn.CONCAT(Tabla5[[#This Row],[Unidad]],"-",Tabla5[[#This Row],[Nro.]])</f>
        <v>Unidad 1-2</v>
      </c>
      <c r="I3" t="str">
        <f>+_xlfn.CONCAT(Tabla5[[#This Row],[Unidad]],"-",Tabla5[[#This Row],[Nro. Act.]])</f>
        <v>Unidad 1-2</v>
      </c>
      <c r="J3">
        <v>2</v>
      </c>
    </row>
    <row r="4" spans="1:11" x14ac:dyDescent="0.25">
      <c r="A4" t="str">
        <f>+cronograma!$B$1</f>
        <v>Analítica de Big Data</v>
      </c>
      <c r="B4" t="s">
        <v>17</v>
      </c>
      <c r="C4" t="s">
        <v>350</v>
      </c>
      <c r="D4" t="s">
        <v>346</v>
      </c>
      <c r="E4">
        <v>3</v>
      </c>
      <c r="F4" t="s">
        <v>37</v>
      </c>
      <c r="G4" s="3" t="s">
        <v>370</v>
      </c>
      <c r="H4" t="str">
        <f>+_xlfn.CONCAT(Tabla5[[#This Row],[Unidad]],"-",Tabla5[[#This Row],[Nro.]])</f>
        <v>Unidad 1-3</v>
      </c>
      <c r="I4" t="str">
        <f>+_xlfn.CONCAT(Tabla5[[#This Row],[Unidad]],"-",Tabla5[[#This Row],[Nro. Act.]])</f>
        <v>Unidad 1-3</v>
      </c>
      <c r="J4">
        <v>3</v>
      </c>
    </row>
    <row r="5" spans="1:11" x14ac:dyDescent="0.25">
      <c r="A5" t="str">
        <f>+cronograma!$B$1</f>
        <v>Analítica de Big Data</v>
      </c>
      <c r="B5" t="s">
        <v>18</v>
      </c>
      <c r="C5" t="s">
        <v>351</v>
      </c>
      <c r="D5" t="s">
        <v>347</v>
      </c>
      <c r="E5">
        <v>1</v>
      </c>
      <c r="F5" t="s">
        <v>35</v>
      </c>
      <c r="G5" t="s">
        <v>367</v>
      </c>
      <c r="H5" t="str">
        <f>+_xlfn.CONCAT(Tabla5[[#This Row],[Unidad]],"-",Tabla5[[#This Row],[Nro.]])</f>
        <v>Unidad 2-1</v>
      </c>
      <c r="I5" t="str">
        <f>+_xlfn.CONCAT(Tabla5[[#This Row],[Unidad]],"-",Tabla5[[#This Row],[Nro. Act.]])</f>
        <v>Unidad 2-1</v>
      </c>
      <c r="J5">
        <v>1</v>
      </c>
    </row>
    <row r="6" spans="1:11" x14ac:dyDescent="0.25">
      <c r="A6" t="str">
        <f>+cronograma!$B$1</f>
        <v>Analítica de Big Data</v>
      </c>
      <c r="B6" t="s">
        <v>18</v>
      </c>
      <c r="C6" t="s">
        <v>351</v>
      </c>
      <c r="D6" t="s">
        <v>347</v>
      </c>
      <c r="E6">
        <v>2</v>
      </c>
      <c r="F6" t="s">
        <v>36</v>
      </c>
      <c r="G6" s="3" t="s">
        <v>370</v>
      </c>
      <c r="H6" t="str">
        <f>+_xlfn.CONCAT(Tabla5[[#This Row],[Unidad]],"-",Tabla5[[#This Row],[Nro.]])</f>
        <v>Unidad 2-2</v>
      </c>
      <c r="I6" t="str">
        <f>+_xlfn.CONCAT(Tabla5[[#This Row],[Unidad]],"-",Tabla5[[#This Row],[Nro. Act.]])</f>
        <v>Unidad 2-2</v>
      </c>
      <c r="J6">
        <v>2</v>
      </c>
    </row>
    <row r="7" spans="1:11" x14ac:dyDescent="0.25">
      <c r="A7" t="str">
        <f>+cronograma!$B$1</f>
        <v>Analítica de Big Data</v>
      </c>
      <c r="B7" t="s">
        <v>18</v>
      </c>
      <c r="C7" t="s">
        <v>351</v>
      </c>
      <c r="D7" t="s">
        <v>347</v>
      </c>
      <c r="E7">
        <v>3</v>
      </c>
      <c r="F7" t="s">
        <v>37</v>
      </c>
      <c r="G7" s="3"/>
      <c r="H7" t="str">
        <f>+_xlfn.CONCAT(Tabla5[[#This Row],[Unidad]],"-",Tabla5[[#This Row],[Nro.]])</f>
        <v>Unidad 2-3</v>
      </c>
      <c r="I7" t="str">
        <f>+_xlfn.CONCAT(Tabla5[[#This Row],[Unidad]],"-",Tabla5[[#This Row],[Nro. Act.]])</f>
        <v>Unidad 2-3</v>
      </c>
      <c r="J7">
        <v>3</v>
      </c>
    </row>
    <row r="8" spans="1:11" x14ac:dyDescent="0.25">
      <c r="A8" t="str">
        <f>+cronograma!$B$1</f>
        <v>Analítica de Big Data</v>
      </c>
      <c r="B8" t="s">
        <v>19</v>
      </c>
      <c r="C8" t="s">
        <v>352</v>
      </c>
      <c r="D8" t="s">
        <v>348</v>
      </c>
      <c r="E8">
        <v>1</v>
      </c>
      <c r="F8" t="s">
        <v>35</v>
      </c>
      <c r="G8" t="s">
        <v>368</v>
      </c>
      <c r="H8" t="str">
        <f>+_xlfn.CONCAT(Tabla5[[#This Row],[Unidad]],"-",Tabla5[[#This Row],[Nro.]])</f>
        <v>Unidad 3-1</v>
      </c>
      <c r="I8" t="str">
        <f>+_xlfn.CONCAT(Tabla5[[#This Row],[Unidad]],"-",Tabla5[[#This Row],[Nro. Act.]])</f>
        <v>Unidad 3-1</v>
      </c>
      <c r="J8">
        <v>1</v>
      </c>
    </row>
    <row r="9" spans="1:11" x14ac:dyDescent="0.25">
      <c r="A9" t="str">
        <f>+cronograma!$B$1</f>
        <v>Analítica de Big Data</v>
      </c>
      <c r="B9" t="s">
        <v>19</v>
      </c>
      <c r="C9" t="s">
        <v>352</v>
      </c>
      <c r="D9" t="s">
        <v>348</v>
      </c>
      <c r="E9">
        <v>2</v>
      </c>
      <c r="F9" t="s">
        <v>36</v>
      </c>
      <c r="G9" s="3" t="s">
        <v>370</v>
      </c>
      <c r="H9" t="str">
        <f>+_xlfn.CONCAT(Tabla5[[#This Row],[Unidad]],"-",Tabla5[[#This Row],[Nro.]])</f>
        <v>Unidad 3-2</v>
      </c>
      <c r="I9" t="str">
        <f>+_xlfn.CONCAT(Tabla5[[#This Row],[Unidad]],"-",Tabla5[[#This Row],[Nro. Act.]])</f>
        <v>Unidad 3-2</v>
      </c>
      <c r="J9">
        <v>2</v>
      </c>
    </row>
    <row r="10" spans="1:11" x14ac:dyDescent="0.25">
      <c r="A10" t="str">
        <f>+cronograma!$B$1</f>
        <v>Analítica de Big Data</v>
      </c>
      <c r="B10" t="s">
        <v>19</v>
      </c>
      <c r="C10" t="s">
        <v>352</v>
      </c>
      <c r="D10" t="s">
        <v>348</v>
      </c>
      <c r="E10">
        <v>3</v>
      </c>
      <c r="F10" t="s">
        <v>37</v>
      </c>
      <c r="H10" t="str">
        <f>+_xlfn.CONCAT(Tabla5[[#This Row],[Unidad]],"-",Tabla5[[#This Row],[Nro.]])</f>
        <v>Unidad 3-3</v>
      </c>
      <c r="I10" t="str">
        <f>+_xlfn.CONCAT(Tabla5[[#This Row],[Unidad]],"-",Tabla5[[#This Row],[Nro. Act.]])</f>
        <v>Unidad 3-3</v>
      </c>
      <c r="J10">
        <v>3</v>
      </c>
    </row>
    <row r="11" spans="1:11" x14ac:dyDescent="0.25">
      <c r="A11" t="str">
        <f>+cronograma!$B$1</f>
        <v>Analítica de Big Data</v>
      </c>
      <c r="B11" t="s">
        <v>20</v>
      </c>
      <c r="C11" t="s">
        <v>353</v>
      </c>
      <c r="D11" t="s">
        <v>349</v>
      </c>
      <c r="E11">
        <v>1</v>
      </c>
      <c r="F11" t="s">
        <v>35</v>
      </c>
      <c r="G11" t="s">
        <v>369</v>
      </c>
      <c r="H11" t="str">
        <f>+_xlfn.CONCAT(Tabla5[[#This Row],[Unidad]],"-",Tabla5[[#This Row],[Nro.]])</f>
        <v>Unidad 4-1</v>
      </c>
      <c r="I11" t="str">
        <f>+_xlfn.CONCAT(Tabla5[[#This Row],[Unidad]],"-",Tabla5[[#This Row],[Nro. Act.]])</f>
        <v>Unidad 4-1</v>
      </c>
      <c r="J11">
        <v>1</v>
      </c>
    </row>
    <row r="12" spans="1:11" x14ac:dyDescent="0.25">
      <c r="A12" t="str">
        <f>+cronograma!$B$1</f>
        <v>Analítica de Big Data</v>
      </c>
      <c r="B12" t="s">
        <v>20</v>
      </c>
      <c r="C12" t="s">
        <v>353</v>
      </c>
      <c r="D12" t="s">
        <v>349</v>
      </c>
      <c r="E12">
        <v>2</v>
      </c>
      <c r="F12" t="s">
        <v>36</v>
      </c>
      <c r="G12" s="3" t="s">
        <v>370</v>
      </c>
      <c r="H12" t="str">
        <f>+_xlfn.CONCAT(Tabla5[[#This Row],[Unidad]],"-",Tabla5[[#This Row],[Nro.]])</f>
        <v>Unidad 4-2</v>
      </c>
      <c r="I12" t="str">
        <f>+_xlfn.CONCAT(Tabla5[[#This Row],[Unidad]],"-",Tabla5[[#This Row],[Nro. Act.]])</f>
        <v>Unidad 4-2</v>
      </c>
      <c r="J12">
        <v>2</v>
      </c>
    </row>
    <row r="13" spans="1:11" x14ac:dyDescent="0.25">
      <c r="A13" t="str">
        <f>+cronograma!$B$1</f>
        <v>Analítica de Big Data</v>
      </c>
      <c r="B13" t="s">
        <v>20</v>
      </c>
      <c r="C13" t="s">
        <v>353</v>
      </c>
      <c r="D13" t="s">
        <v>349</v>
      </c>
      <c r="E13">
        <v>3</v>
      </c>
      <c r="F13" t="s">
        <v>37</v>
      </c>
      <c r="H13" t="str">
        <f>+_xlfn.CONCAT(Tabla5[[#This Row],[Unidad]],"-",Tabla5[[#This Row],[Nro.]])</f>
        <v>Unidad 4-3</v>
      </c>
      <c r="I13" t="str">
        <f>+_xlfn.CONCAT(Tabla5[[#This Row],[Unidad]],"-",Tabla5[[#This Row],[Nro. Act.]])</f>
        <v>Unidad 4-3</v>
      </c>
      <c r="J13">
        <v>3</v>
      </c>
    </row>
  </sheetData>
  <phoneticPr fontId="3" type="noConversion"/>
  <conditionalFormatting sqref="B2:J13">
    <cfRule type="expression" dxfId="4" priority="31">
      <formula>$B2="Unidad 5"</formula>
    </cfRule>
    <cfRule type="expression" dxfId="3" priority="32">
      <formula>$B2="Unidad 4"</formula>
    </cfRule>
    <cfRule type="expression" dxfId="2" priority="33">
      <formula>$B2="Unidad 3"</formula>
    </cfRule>
    <cfRule type="expression" dxfId="1" priority="34">
      <formula>$B2="Unidad 2"</formula>
    </cfRule>
    <cfRule type="expression" dxfId="0" priority="35">
      <formula>$B2="Unidad 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2A9F-8932-45C4-BC6B-BF3347EA5ED5}">
  <sheetPr codeName="Hoja2">
    <tabColor rgb="FFFFC000"/>
  </sheetPr>
  <dimension ref="A3:H30"/>
  <sheetViews>
    <sheetView view="pageLayout" topLeftCell="A33" zoomScale="115" zoomScaleNormal="100" zoomScalePageLayoutView="115" workbookViewId="0">
      <selection activeCell="C44" sqref="C44"/>
    </sheetView>
  </sheetViews>
  <sheetFormatPr baseColWidth="10" defaultColWidth="0" defaultRowHeight="15" x14ac:dyDescent="0.25"/>
  <cols>
    <col min="1" max="1" width="1.7109375" style="16" customWidth="1"/>
    <col min="2" max="2" width="17.42578125" customWidth="1"/>
    <col min="3" max="3" width="40.7109375" customWidth="1"/>
    <col min="4" max="4" width="10" customWidth="1"/>
    <col min="5" max="5" width="9.85546875" customWidth="1"/>
    <col min="6" max="6" width="7" customWidth="1"/>
    <col min="7" max="7" width="7.7109375" customWidth="1"/>
    <col min="8" max="8" width="2.85546875" customWidth="1"/>
    <col min="9" max="16384" width="11.5703125" hidden="1"/>
  </cols>
  <sheetData>
    <row r="3" spans="1:7" ht="21.75" customHeight="1" x14ac:dyDescent="0.25">
      <c r="B3" s="75" t="s">
        <v>327</v>
      </c>
      <c r="C3" s="75"/>
      <c r="D3" s="75"/>
      <c r="E3" s="75"/>
      <c r="F3" s="75"/>
      <c r="G3" s="75"/>
    </row>
    <row r="4" spans="1:7" ht="20.25" x14ac:dyDescent="0.25">
      <c r="A4" s="16">
        <v>1</v>
      </c>
      <c r="B4" s="75" t="s">
        <v>57</v>
      </c>
      <c r="C4" s="75"/>
      <c r="D4" s="75"/>
      <c r="E4" s="75"/>
      <c r="F4" s="75"/>
      <c r="G4" s="75"/>
    </row>
    <row r="5" spans="1:7" ht="11.25" customHeight="1" thickBot="1" x14ac:dyDescent="0.3"/>
    <row r="6" spans="1:7" ht="49.5" customHeight="1" thickBot="1" x14ac:dyDescent="0.3">
      <c r="B6" s="26" t="s">
        <v>7</v>
      </c>
      <c r="C6" s="26" t="s">
        <v>9</v>
      </c>
      <c r="D6" s="26" t="s">
        <v>4</v>
      </c>
      <c r="E6" s="26" t="s">
        <v>5</v>
      </c>
      <c r="F6" s="26" t="s">
        <v>56</v>
      </c>
      <c r="G6" s="26" t="s">
        <v>12</v>
      </c>
    </row>
    <row r="7" spans="1:7" ht="22.5" customHeight="1" thickBot="1" x14ac:dyDescent="0.3">
      <c r="A7" s="16">
        <v>1</v>
      </c>
      <c r="B7" s="76" t="s">
        <v>346</v>
      </c>
      <c r="C7" s="27" t="s">
        <v>24</v>
      </c>
      <c r="D7" s="28" t="e">
        <f>+_xlfn.XLOOKUP(_xlfn.CONCAT("Unidad ",A7,"-",LEFT(C7,1)),cronograma!#REF!,cronograma!$J$19:$J$34,"",0,1)</f>
        <v>#REF!</v>
      </c>
      <c r="E7" s="28" t="e">
        <f>+_xlfn.XLOOKUP(_xlfn.CONCAT("Unidad ",A7,"-",LEFT(C7,1)),cronograma!#REF!,cronograma!$K$19:$K$34,"",0,1)</f>
        <v>#REF!</v>
      </c>
      <c r="F7" s="28" t="e">
        <f>++_xlfn.XLOOKUP(_xlfn.CONCAT("Unidad ",A7,"-",LEFT(C7,1)),cronograma!#REF!,cronograma!$F$19:$F$34,"",0,1)</f>
        <v>#REF!</v>
      </c>
      <c r="G7" s="29" t="e">
        <f>+_xlfn.XLOOKUP(_xlfn.CONCAT("Unidad ",A7,"-",LEFT(C7,1)),cronograma!#REF!,cronograma!$G$19:$G$34,"",0,1)</f>
        <v>#REF!</v>
      </c>
    </row>
    <row r="8" spans="1:7" ht="22.5" customHeight="1" thickBot="1" x14ac:dyDescent="0.3">
      <c r="A8" s="16">
        <v>1</v>
      </c>
      <c r="B8" s="73"/>
      <c r="C8" s="27" t="s">
        <v>339</v>
      </c>
      <c r="D8" s="28" t="e">
        <f>+_xlfn.XLOOKUP(_xlfn.CONCAT("Unidad ",A8,"-",LEFT(C8,1)),cronograma!#REF!,cronograma!$J$19:$J$34,"",0,1)</f>
        <v>#REF!</v>
      </c>
      <c r="E8" s="28" t="e">
        <f>+_xlfn.XLOOKUP(_xlfn.CONCAT("Unidad ",A8,"-",LEFT(C8,1)),cronograma!#REF!,cronograma!$K$19:$K$34,"",0,1)</f>
        <v>#REF!</v>
      </c>
      <c r="F8" s="28" t="e">
        <f>++_xlfn.XLOOKUP(_xlfn.CONCAT("Unidad ",A8,"-",LEFT(C8,1)),cronograma!#REF!,cronograma!$F$19:$F$34,"",0,1)</f>
        <v>#REF!</v>
      </c>
      <c r="G8" s="29" t="e">
        <f>+_xlfn.XLOOKUP(_xlfn.CONCAT("Unidad ",A8,"-",LEFT(C8,1)),cronograma!#REF!,cronograma!$G$19:$G$34,"",0,1)</f>
        <v>#REF!</v>
      </c>
    </row>
    <row r="9" spans="1:7" ht="22.5" customHeight="1" thickBot="1" x14ac:dyDescent="0.3">
      <c r="A9" s="16">
        <v>1</v>
      </c>
      <c r="B9" s="73"/>
      <c r="C9" s="27" t="s">
        <v>362</v>
      </c>
      <c r="D9" s="28" t="e">
        <f>+_xlfn.XLOOKUP(_xlfn.CONCAT("Unidad ",A9,"-",LEFT(C9,1)),cronograma!#REF!,cronograma!$J$19:$J$34,"",0,1)</f>
        <v>#REF!</v>
      </c>
      <c r="E9" s="28" t="e">
        <f>+_xlfn.XLOOKUP(_xlfn.CONCAT("Unidad ",A9,"-",LEFT(C9,1)),cronograma!#REF!,cronograma!$K$19:$K$34,"",0,1)</f>
        <v>#REF!</v>
      </c>
      <c r="F9" s="28" t="e">
        <f>++_xlfn.XLOOKUP(_xlfn.CONCAT("Unidad ",A9,"-",LEFT(C9,1)),cronograma!#REF!,cronograma!$F$19:$F$34,"",0,1)</f>
        <v>#REF!</v>
      </c>
      <c r="G9" s="29" t="e">
        <f>+_xlfn.XLOOKUP(_xlfn.CONCAT("Unidad ",A9,"-",LEFT(C9,1)),cronograma!#REF!,cronograma!$G$19:$G$34,"",0,1)</f>
        <v>#REF!</v>
      </c>
    </row>
    <row r="10" spans="1:7" ht="22.5" customHeight="1" thickBot="1" x14ac:dyDescent="0.3">
      <c r="A10" s="16">
        <v>2</v>
      </c>
      <c r="B10" s="72" t="s">
        <v>347</v>
      </c>
      <c r="C10" s="27" t="s">
        <v>24</v>
      </c>
      <c r="D10" s="28" t="e">
        <f>+_xlfn.XLOOKUP(_xlfn.CONCAT("Unidad ",A10,"-",LEFT(C10,1)),cronograma!#REF!,cronograma!$J$19:$J$34,"",0,1)</f>
        <v>#REF!</v>
      </c>
      <c r="E10" s="28" t="e">
        <f>+_xlfn.XLOOKUP(_xlfn.CONCAT("Unidad ",A10,"-",LEFT(C10,1)),cronograma!#REF!,cronograma!$K$19:$K$34,"",0,1)</f>
        <v>#REF!</v>
      </c>
      <c r="F10" s="28" t="e">
        <f>++_xlfn.XLOOKUP(_xlfn.CONCAT("Unidad ",A10,"-",LEFT(C10,1)),cronograma!#REF!,cronograma!$F$19:$F$34,"",0,1)</f>
        <v>#REF!</v>
      </c>
      <c r="G10" s="29" t="e">
        <f>+_xlfn.XLOOKUP(_xlfn.CONCAT("Unidad ",A10,"-",LEFT(C10,1)),cronograma!#REF!,cronograma!$G$19:$G$34,"",0,1)</f>
        <v>#REF!</v>
      </c>
    </row>
    <row r="11" spans="1:7" ht="22.5" customHeight="1" thickBot="1" x14ac:dyDescent="0.3">
      <c r="A11" s="16">
        <v>2</v>
      </c>
      <c r="B11" s="73"/>
      <c r="C11" s="27" t="s">
        <v>339</v>
      </c>
      <c r="D11" s="28" t="e">
        <f>+_xlfn.XLOOKUP(_xlfn.CONCAT("Unidad ",A11,"-",LEFT(C11,1)),cronograma!#REF!,cronograma!$J$19:$J$34,"",0,1)</f>
        <v>#REF!</v>
      </c>
      <c r="E11" s="28" t="e">
        <f>+_xlfn.XLOOKUP(_xlfn.CONCAT("Unidad ",A11,"-",LEFT(C11,1)),cronograma!#REF!,cronograma!$K$19:$K$34,"",0,1)</f>
        <v>#REF!</v>
      </c>
      <c r="F11" s="28" t="e">
        <f>++_xlfn.XLOOKUP(_xlfn.CONCAT("Unidad ",A11,"-",LEFT(C11,1)),cronograma!#REF!,cronograma!$F$19:$F$34,"",0,1)</f>
        <v>#REF!</v>
      </c>
      <c r="G11" s="29" t="e">
        <f>+_xlfn.XLOOKUP(_xlfn.CONCAT("Unidad ",A11,"-",LEFT(C11,1)),cronograma!#REF!,cronograma!$G$19:$G$34,"",0,1)</f>
        <v>#REF!</v>
      </c>
    </row>
    <row r="12" spans="1:7" ht="22.5" customHeight="1" thickBot="1" x14ac:dyDescent="0.3">
      <c r="A12" s="16">
        <v>2</v>
      </c>
      <c r="B12" s="73"/>
      <c r="C12" s="27" t="s">
        <v>362</v>
      </c>
      <c r="D12" s="28" t="e">
        <f>+_xlfn.XLOOKUP(_xlfn.CONCAT("Unidad ",A12,"-",LEFT(C12,1)),cronograma!#REF!,cronograma!$J$19:$J$34,"",0,1)</f>
        <v>#REF!</v>
      </c>
      <c r="E12" s="28" t="e">
        <f>+_xlfn.XLOOKUP(_xlfn.CONCAT("Unidad ",A12,"-",LEFT(C12,1)),cronograma!#REF!,cronograma!$K$19:$K$34,"",0,1)</f>
        <v>#REF!</v>
      </c>
      <c r="F12" s="28" t="e">
        <f>++_xlfn.XLOOKUP(_xlfn.CONCAT("Unidad ",A12,"-",LEFT(C12,1)),cronograma!#REF!,cronograma!$F$19:$F$34,"",0,1)</f>
        <v>#REF!</v>
      </c>
      <c r="G12" s="29" t="e">
        <f>+_xlfn.XLOOKUP(_xlfn.CONCAT("Unidad ",A12,"-",LEFT(C12,1)),cronograma!#REF!,cronograma!$G$19:$G$34,"",0,1)</f>
        <v>#REF!</v>
      </c>
    </row>
    <row r="13" spans="1:7" ht="22.5" customHeight="1" thickBot="1" x14ac:dyDescent="0.3">
      <c r="A13" s="16">
        <v>3</v>
      </c>
      <c r="B13" s="72" t="s">
        <v>348</v>
      </c>
      <c r="C13" s="27" t="s">
        <v>24</v>
      </c>
      <c r="D13" s="28" t="e">
        <f>+_xlfn.XLOOKUP(_xlfn.CONCAT("Unidad ",A13,"-",LEFT(C13,1)),cronograma!#REF!,cronograma!$J$19:$J$34,"",0,1)</f>
        <v>#REF!</v>
      </c>
      <c r="E13" s="28" t="e">
        <f>+_xlfn.XLOOKUP(_xlfn.CONCAT("Unidad ",A13,"-",LEFT(C13,1)),cronograma!#REF!,cronograma!$K$19:$K$34,"",0,1)</f>
        <v>#REF!</v>
      </c>
      <c r="F13" s="28" t="e">
        <f>++_xlfn.XLOOKUP(_xlfn.CONCAT("Unidad ",A13,"-",LEFT(C13,1)),cronograma!#REF!,cronograma!$F$19:$F$34,"",0,1)</f>
        <v>#REF!</v>
      </c>
      <c r="G13" s="29" t="e">
        <f>+_xlfn.XLOOKUP(_xlfn.CONCAT("Unidad ",A13,"-",LEFT(C13,1)),cronograma!#REF!,cronograma!$G$19:$G$34,"",0,1)</f>
        <v>#REF!</v>
      </c>
    </row>
    <row r="14" spans="1:7" ht="22.5" customHeight="1" thickBot="1" x14ac:dyDescent="0.3">
      <c r="A14" s="16">
        <v>3</v>
      </c>
      <c r="B14" s="73"/>
      <c r="C14" s="27" t="s">
        <v>339</v>
      </c>
      <c r="D14" s="28" t="e">
        <f>+_xlfn.XLOOKUP(_xlfn.CONCAT("Unidad ",A14,"-",LEFT(C14,1)),cronograma!#REF!,cronograma!$J$19:$J$34,"",0,1)</f>
        <v>#REF!</v>
      </c>
      <c r="E14" s="28" t="e">
        <f>+_xlfn.XLOOKUP(_xlfn.CONCAT("Unidad ",A14,"-",LEFT(C14,1)),cronograma!#REF!,cronograma!$K$19:$K$34,"",0,1)</f>
        <v>#REF!</v>
      </c>
      <c r="F14" s="28" t="e">
        <f>++_xlfn.XLOOKUP(_xlfn.CONCAT("Unidad ",A14,"-",LEFT(C14,1)),cronograma!#REF!,cronograma!$F$19:$F$34,"",0,1)</f>
        <v>#REF!</v>
      </c>
      <c r="G14" s="29" t="e">
        <f>+_xlfn.XLOOKUP(_xlfn.CONCAT("Unidad ",A14,"-",LEFT(C14,1)),cronograma!#REF!,cronograma!$G$19:$G$34,"",0,1)</f>
        <v>#REF!</v>
      </c>
    </row>
    <row r="15" spans="1:7" ht="22.5" customHeight="1" thickBot="1" x14ac:dyDescent="0.3">
      <c r="A15" s="16">
        <v>3</v>
      </c>
      <c r="B15" s="73"/>
      <c r="C15" s="27" t="s">
        <v>362</v>
      </c>
      <c r="D15" s="28" t="e">
        <f>+_xlfn.XLOOKUP(_xlfn.CONCAT("Unidad ",A15,"-",LEFT(C15,1)),cronograma!#REF!,cronograma!$J$19:$J$34,"",0,1)</f>
        <v>#REF!</v>
      </c>
      <c r="E15" s="28" t="e">
        <f>+_xlfn.XLOOKUP(_xlfn.CONCAT("Unidad ",A15,"-",LEFT(C15,1)),cronograma!#REF!,cronograma!$K$19:$K$34,"",0,1)</f>
        <v>#REF!</v>
      </c>
      <c r="F15" s="28" t="e">
        <f>++_xlfn.XLOOKUP(_xlfn.CONCAT("Unidad ",A15,"-",LEFT(C15,1)),cronograma!#REF!,cronograma!$F$19:$F$34,"",0,1)</f>
        <v>#REF!</v>
      </c>
      <c r="G15" s="29" t="e">
        <f>+_xlfn.XLOOKUP(_xlfn.CONCAT("Unidad ",A15,"-",LEFT(C15,1)),cronograma!#REF!,cronograma!$G$19:$G$34,"",0,1)</f>
        <v>#REF!</v>
      </c>
    </row>
    <row r="16" spans="1:7" ht="22.5" customHeight="1" thickBot="1" x14ac:dyDescent="0.3">
      <c r="A16" s="16">
        <v>4</v>
      </c>
      <c r="B16" s="72" t="s">
        <v>349</v>
      </c>
      <c r="C16" s="27" t="s">
        <v>24</v>
      </c>
      <c r="D16" s="28" t="e">
        <f>+_xlfn.XLOOKUP(_xlfn.CONCAT("Unidad ",A16,"-",LEFT(C16,1)),cronograma!#REF!,cronograma!$J$19:$J$34,"",0,1)</f>
        <v>#REF!</v>
      </c>
      <c r="E16" s="28" t="e">
        <f>+_xlfn.XLOOKUP(_xlfn.CONCAT("Unidad ",A16,"-",LEFT(C16,1)),cronograma!#REF!,cronograma!$K$19:$K$34,"",0,1)</f>
        <v>#REF!</v>
      </c>
      <c r="F16" s="28" t="e">
        <f>++_xlfn.XLOOKUP(_xlfn.CONCAT("Unidad ",A16,"-",LEFT(C16,1)),cronograma!#REF!,cronograma!$F$19:$F$34,"",0,1)</f>
        <v>#REF!</v>
      </c>
      <c r="G16" s="29" t="e">
        <f>+_xlfn.XLOOKUP(_xlfn.CONCAT("Unidad ",A16,"-",LEFT(C16,1)),cronograma!#REF!,cronograma!$G$19:$G$34,"",0,1)</f>
        <v>#REF!</v>
      </c>
    </row>
    <row r="17" spans="1:7" ht="22.5" customHeight="1" thickBot="1" x14ac:dyDescent="0.3">
      <c r="A17" s="16">
        <v>4</v>
      </c>
      <c r="B17" s="73"/>
      <c r="C17" s="27" t="s">
        <v>339</v>
      </c>
      <c r="D17" s="28" t="e">
        <f>+_xlfn.XLOOKUP(_xlfn.CONCAT("Unidad ",A17,"-",LEFT(C17,1)),cronograma!#REF!,cronograma!$J$19:$J$34,"",0,1)</f>
        <v>#REF!</v>
      </c>
      <c r="E17" s="28" t="e">
        <f>+_xlfn.XLOOKUP(_xlfn.CONCAT("Unidad ",A17,"-",LEFT(C17,1)),cronograma!#REF!,cronograma!$K$19:$K$34,"",0,1)</f>
        <v>#REF!</v>
      </c>
      <c r="F17" s="28" t="e">
        <f>++_xlfn.XLOOKUP(_xlfn.CONCAT("Unidad ",A17,"-",LEFT(C17,1)),cronograma!#REF!,cronograma!$F$19:$F$34,"",0,1)</f>
        <v>#REF!</v>
      </c>
      <c r="G17" s="29" t="e">
        <f>+_xlfn.XLOOKUP(_xlfn.CONCAT("Unidad ",A17,"-",LEFT(C17,1)),cronograma!#REF!,cronograma!$G$19:$G$34,"",0,1)</f>
        <v>#REF!</v>
      </c>
    </row>
    <row r="18" spans="1:7" ht="22.5" customHeight="1" thickBot="1" x14ac:dyDescent="0.3">
      <c r="A18" s="16">
        <v>4</v>
      </c>
      <c r="B18" s="73"/>
      <c r="C18" s="27" t="s">
        <v>362</v>
      </c>
      <c r="D18" s="28" t="e">
        <f>+_xlfn.XLOOKUP(_xlfn.CONCAT("Unidad ",A18,"-",LEFT(C18,1)),cronograma!#REF!,cronograma!$J$19:$J$34,"",0,1)</f>
        <v>#REF!</v>
      </c>
      <c r="E18" s="28" t="e">
        <f>+_xlfn.XLOOKUP(_xlfn.CONCAT("Unidad ",A18,"-",LEFT(C18,1)),cronograma!#REF!,cronograma!$K$19:$K$34,"",0,1)</f>
        <v>#REF!</v>
      </c>
      <c r="F18" s="28" t="e">
        <f>++_xlfn.XLOOKUP(_xlfn.CONCAT("Unidad ",A18,"-",LEFT(C18,1)),cronograma!#REF!,cronograma!$F$19:$F$34,"",0,1)</f>
        <v>#REF!</v>
      </c>
      <c r="G18" s="29" t="e">
        <f>+_xlfn.XLOOKUP(_xlfn.CONCAT("Unidad ",A18,"-",LEFT(C18,1)),cronograma!#REF!,cronograma!$G$19:$G$34,"",0,1)</f>
        <v>#REF!</v>
      </c>
    </row>
    <row r="19" spans="1:7" ht="22.5" customHeight="1" thickBot="1" x14ac:dyDescent="0.3">
      <c r="A19" s="16">
        <v>5</v>
      </c>
      <c r="B19" s="72" t="s">
        <v>354</v>
      </c>
      <c r="C19" s="27" t="s">
        <v>355</v>
      </c>
      <c r="D19" s="28" t="str">
        <f>+_xlfn.XLOOKUP(C19,cronograma!$B$18:$B$44,cronograma!$J$18:$J$44,"",0,1)</f>
        <v/>
      </c>
      <c r="E19" s="28" t="str">
        <f>+D19</f>
        <v/>
      </c>
      <c r="F19" s="28" t="s">
        <v>14</v>
      </c>
      <c r="G19" s="29">
        <v>0</v>
      </c>
    </row>
    <row r="20" spans="1:7" ht="22.5" customHeight="1" thickBot="1" x14ac:dyDescent="0.3">
      <c r="A20" s="16">
        <v>5</v>
      </c>
      <c r="B20" s="73"/>
      <c r="C20" s="27" t="s">
        <v>356</v>
      </c>
      <c r="D20" s="28" t="str">
        <f>+_xlfn.XLOOKUP(C20,cronograma!$B$18:$B$44,cronograma!$J$18:$J$44,"",0,1)</f>
        <v/>
      </c>
      <c r="E20" s="28" t="str">
        <f t="shared" ref="E20:E26" si="0">+D20</f>
        <v/>
      </c>
      <c r="F20" s="28" t="s">
        <v>14</v>
      </c>
      <c r="G20" s="29">
        <v>0</v>
      </c>
    </row>
    <row r="21" spans="1:7" ht="22.5" customHeight="1" thickBot="1" x14ac:dyDescent="0.3">
      <c r="A21" s="16">
        <v>5</v>
      </c>
      <c r="B21" s="73"/>
      <c r="C21" s="27" t="s">
        <v>357</v>
      </c>
      <c r="D21" s="28" t="str">
        <f>+_xlfn.XLOOKUP(C21,cronograma!$B$18:$B$44,cronograma!$J$18:$J$44,"",0,1)</f>
        <v/>
      </c>
      <c r="E21" s="28" t="str">
        <f t="shared" si="0"/>
        <v/>
      </c>
      <c r="F21" s="28" t="s">
        <v>14</v>
      </c>
      <c r="G21" s="29">
        <v>0</v>
      </c>
    </row>
    <row r="22" spans="1:7" ht="22.5" customHeight="1" thickBot="1" x14ac:dyDescent="0.3">
      <c r="A22" s="16">
        <v>5</v>
      </c>
      <c r="B22" s="73"/>
      <c r="C22" s="27" t="s">
        <v>358</v>
      </c>
      <c r="D22" s="28" t="str">
        <f>+_xlfn.XLOOKUP(C22,cronograma!$B$18:$B$44,cronograma!$J$18:$J$44,"",0,1)</f>
        <v/>
      </c>
      <c r="E22" s="28" t="str">
        <f t="shared" si="0"/>
        <v/>
      </c>
      <c r="F22" s="28" t="s">
        <v>14</v>
      </c>
      <c r="G22" s="29">
        <v>0</v>
      </c>
    </row>
    <row r="23" spans="1:7" ht="22.5" customHeight="1" thickBot="1" x14ac:dyDescent="0.3">
      <c r="A23" s="16">
        <v>5</v>
      </c>
      <c r="B23" s="73"/>
      <c r="C23" s="27" t="s">
        <v>359</v>
      </c>
      <c r="D23" s="28" t="str">
        <f>+_xlfn.XLOOKUP(C23,cronograma!$B$18:$B$44,cronograma!$J$18:$J$44,"",0,1)</f>
        <v/>
      </c>
      <c r="E23" s="28" t="str">
        <f t="shared" si="0"/>
        <v/>
      </c>
      <c r="F23" s="28" t="s">
        <v>14</v>
      </c>
      <c r="G23" s="29">
        <v>0</v>
      </c>
    </row>
    <row r="24" spans="1:7" ht="22.5" customHeight="1" thickBot="1" x14ac:dyDescent="0.3">
      <c r="A24" s="16">
        <v>5</v>
      </c>
      <c r="B24" s="73"/>
      <c r="C24" s="27" t="s">
        <v>360</v>
      </c>
      <c r="D24" s="28" t="str">
        <f>+_xlfn.XLOOKUP(C24,cronograma!$B$18:$B$44,cronograma!$J$18:$J$44,"",0,1)</f>
        <v/>
      </c>
      <c r="E24" s="28" t="str">
        <f t="shared" si="0"/>
        <v/>
      </c>
      <c r="F24" s="28" t="s">
        <v>14</v>
      </c>
      <c r="G24" s="29">
        <v>0</v>
      </c>
    </row>
    <row r="25" spans="1:7" ht="22.5" customHeight="1" thickBot="1" x14ac:dyDescent="0.3">
      <c r="B25" s="73"/>
      <c r="C25" s="27" t="s">
        <v>361</v>
      </c>
      <c r="D25" s="28" t="str">
        <f>+_xlfn.XLOOKUP(C25,cronograma!$B$18:$B$44,cronograma!$J$18:$J$44,"",0,1)</f>
        <v/>
      </c>
      <c r="E25" s="28" t="str">
        <f t="shared" si="0"/>
        <v/>
      </c>
      <c r="F25" s="28" t="s">
        <v>14</v>
      </c>
      <c r="G25" s="29">
        <v>0</v>
      </c>
    </row>
    <row r="26" spans="1:7" ht="22.5" customHeight="1" thickBot="1" x14ac:dyDescent="0.3">
      <c r="A26" s="16">
        <v>5</v>
      </c>
      <c r="B26" s="74"/>
      <c r="C26" s="27" t="s">
        <v>364</v>
      </c>
      <c r="D26" s="28" t="str">
        <f>+_xlfn.XLOOKUP(C26,cronograma!$B$18:$B$44,cronograma!$J$18:$J$44,"",0,1)</f>
        <v/>
      </c>
      <c r="E26" s="28" t="str">
        <f t="shared" si="0"/>
        <v/>
      </c>
      <c r="F26" s="28" t="s">
        <v>14</v>
      </c>
      <c r="G26" s="29">
        <v>0</v>
      </c>
    </row>
    <row r="27" spans="1:7" ht="22.5" customHeight="1" thickBot="1" x14ac:dyDescent="0.3">
      <c r="A27" s="16">
        <v>6</v>
      </c>
      <c r="B27" s="72" t="s">
        <v>54</v>
      </c>
      <c r="C27" s="27" t="s">
        <v>25</v>
      </c>
      <c r="D27" s="28" t="e">
        <f>+_xlfn.XLOOKUP(_xlfn.CONCAT("Unidad ",A27,"-",LEFT(C27,1)),cronograma!#REF!,cronograma!$J$19:$J$34,"",0,1)</f>
        <v>#REF!</v>
      </c>
      <c r="E27" s="28" t="e">
        <f>+_xlfn.XLOOKUP(_xlfn.CONCAT("Unidad ",A27,"-",LEFT(C27,1)),cronograma!#REF!,cronograma!$K$19:$K$34,"",0,1)</f>
        <v>#REF!</v>
      </c>
      <c r="F27" s="28" t="e">
        <f>++_xlfn.XLOOKUP(_xlfn.CONCAT("Unidad ",A27,"-",LEFT(C27,1)),cronograma!#REF!,cronograma!$F$19:$F$34,"",0,1)</f>
        <v>#REF!</v>
      </c>
      <c r="G27" s="29" t="e">
        <f>+_xlfn.XLOOKUP(_xlfn.CONCAT("Unidad ",A27,"-",LEFT(C27,1)),cronograma!#REF!,cronograma!$G$19:$G$34,"",0,1)</f>
        <v>#REF!</v>
      </c>
    </row>
    <row r="28" spans="1:7" ht="22.5" customHeight="1" thickBot="1" x14ac:dyDescent="0.3">
      <c r="A28" s="16">
        <v>6</v>
      </c>
      <c r="B28" s="73"/>
      <c r="C28" s="27" t="s">
        <v>26</v>
      </c>
      <c r="D28" s="28" t="e">
        <f>+_xlfn.XLOOKUP(_xlfn.CONCAT("Unidad ",A28,"-",LEFT(C28,1)),cronograma!#REF!,cronograma!$J$19:$J$34,"",0,1)</f>
        <v>#REF!</v>
      </c>
      <c r="E28" s="28" t="e">
        <f>+_xlfn.XLOOKUP(_xlfn.CONCAT("Unidad ",A28,"-",LEFT(C28,1)),cronograma!#REF!,cronograma!$K$19:$K$34,"",0,1)</f>
        <v>#REF!</v>
      </c>
      <c r="F28" s="28" t="e">
        <f>++_xlfn.XLOOKUP(_xlfn.CONCAT("Unidad ",A28,"-",LEFT(C28,1)),cronograma!#REF!,cronograma!$F$19:$F$34,"",0,1)</f>
        <v>#REF!</v>
      </c>
      <c r="G28" s="29" t="e">
        <f>+_xlfn.XLOOKUP(_xlfn.CONCAT("Unidad ",A28,"-",LEFT(C28,1)),cronograma!#REF!,cronograma!$G$19:$G$34,"",0,1)</f>
        <v>#REF!</v>
      </c>
    </row>
    <row r="29" spans="1:7" ht="22.5" customHeight="1" thickBot="1" x14ac:dyDescent="0.3">
      <c r="A29" s="16">
        <v>6</v>
      </c>
      <c r="B29" s="73"/>
      <c r="C29" s="27" t="s">
        <v>27</v>
      </c>
      <c r="D29" s="28" t="e">
        <f>+_xlfn.XLOOKUP(_xlfn.CONCAT("Unidad ",A29,"-",LEFT(C29,1)),cronograma!#REF!,cronograma!$J$19:$J$34,"",0,1)</f>
        <v>#REF!</v>
      </c>
      <c r="E29" s="28" t="e">
        <f>+_xlfn.XLOOKUP(_xlfn.CONCAT("Unidad ",A29,"-",LEFT(C29,1)),cronograma!#REF!,cronograma!$K$19:$K$34,"",0,1)</f>
        <v>#REF!</v>
      </c>
      <c r="F29" s="28" t="e">
        <f>++_xlfn.XLOOKUP(_xlfn.CONCAT("Unidad ",A29,"-",LEFT(C29,1)),cronograma!#REF!,cronograma!$F$19:$F$34,"",0,1)</f>
        <v>#REF!</v>
      </c>
      <c r="G29" s="29" t="e">
        <f>+_xlfn.XLOOKUP(_xlfn.CONCAT("Unidad ",A29,"-",LEFT(C29,1)),cronograma!#REF!,cronograma!$G$19:$G$34,"",0,1)</f>
        <v>#REF!</v>
      </c>
    </row>
    <row r="30" spans="1:7" ht="22.5" customHeight="1" thickBot="1" x14ac:dyDescent="0.3">
      <c r="A30" s="16">
        <v>6</v>
      </c>
      <c r="B30" s="74"/>
      <c r="C30" s="27" t="s">
        <v>28</v>
      </c>
      <c r="D30" s="28" t="e">
        <f>+_xlfn.XLOOKUP(_xlfn.CONCAT("Unidad ",A30,"-",LEFT(C30,1)),cronograma!#REF!,cronograma!$J$19:$J$34,"",0,1)</f>
        <v>#REF!</v>
      </c>
      <c r="E30" s="28" t="e">
        <f>+_xlfn.XLOOKUP(_xlfn.CONCAT("Unidad ",A30,"-",LEFT(C30,1)),cronograma!#REF!,cronograma!$K$19:$K$34,"",0,1)</f>
        <v>#REF!</v>
      </c>
      <c r="F30" s="28" t="e">
        <f>++_xlfn.XLOOKUP(_xlfn.CONCAT("Unidad ",A30,"-",LEFT(C30,1)),cronograma!#REF!,cronograma!$F$19:$F$34,"",0,1)</f>
        <v>#REF!</v>
      </c>
      <c r="G30" s="29" t="e">
        <f>+_xlfn.XLOOKUP(_xlfn.CONCAT("Unidad ",A30,"-",LEFT(C30,1)),cronograma!#REF!,cronograma!$G$19:$G$34,"",0,1)</f>
        <v>#REF!</v>
      </c>
    </row>
  </sheetData>
  <mergeCells count="8">
    <mergeCell ref="B19:B26"/>
    <mergeCell ref="B27:B30"/>
    <mergeCell ref="B3:G3"/>
    <mergeCell ref="B4:G4"/>
    <mergeCell ref="B7:B9"/>
    <mergeCell ref="B10:B12"/>
    <mergeCell ref="B13:B15"/>
    <mergeCell ref="B16:B18"/>
  </mergeCells>
  <phoneticPr fontId="3" type="noConversion"/>
  <dataValidations disablePrompts="1" count="1">
    <dataValidation type="list" allowBlank="1" showInputMessage="1" showErrorMessage="1" sqref="A4" xr:uid="{F5C3DF33-432A-45AF-89EC-A58FB19DBAA4}">
      <formula1>"1,2,3,4,5"</formula1>
    </dataValidation>
  </dataValidations>
  <pageMargins left="0.66122047244094495" right="0.23622047244094491" top="0.74803149606299213" bottom="0.74803149606299213" header="0.31496062992125984" footer="0.11811023622047245"/>
  <pageSetup scale="92" orientation="portrait" r:id="rId1"/>
  <headerFooter>
    <oddHeader>&amp;C&amp;G</oddHeader>
    <oddFooter>&amp;C&amp;G</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8458-92BF-4FC1-B3DB-F8902BB381EE}">
  <sheetPr codeName="Hoja4">
    <tabColor rgb="FFFFC000"/>
  </sheetPr>
  <dimension ref="A4:I28"/>
  <sheetViews>
    <sheetView view="pageLayout" topLeftCell="A105" zoomScale="55" zoomScaleNormal="100" zoomScalePageLayoutView="55" workbookViewId="0">
      <selection activeCell="I142" sqref="I142"/>
    </sheetView>
  </sheetViews>
  <sheetFormatPr baseColWidth="10" defaultColWidth="11.5703125" defaultRowHeight="15" x14ac:dyDescent="0.25"/>
  <cols>
    <col min="1" max="1" width="1.42578125" customWidth="1"/>
    <col min="2" max="2" width="5.7109375" customWidth="1"/>
    <col min="3" max="3" width="9.7109375" customWidth="1"/>
    <col min="4" max="5" width="11.28515625" customWidth="1"/>
    <col min="6" max="6" width="9.5703125" customWidth="1"/>
    <col min="8" max="8" width="16.28515625" customWidth="1"/>
    <col min="9" max="9" width="15" bestFit="1" customWidth="1"/>
  </cols>
  <sheetData>
    <row r="4" spans="1:7" ht="21" customHeight="1" x14ac:dyDescent="0.25"/>
    <row r="5" spans="1:7" ht="21.75" customHeight="1" x14ac:dyDescent="0.25"/>
    <row r="6" spans="1:7" x14ac:dyDescent="0.25">
      <c r="A6" s="16"/>
    </row>
    <row r="7" spans="1:7" ht="15" customHeight="1" x14ac:dyDescent="0.25">
      <c r="B7" s="77"/>
      <c r="C7" s="77"/>
      <c r="D7" s="77"/>
      <c r="E7" s="77"/>
      <c r="F7" s="77"/>
    </row>
    <row r="8" spans="1:7" ht="15.75" customHeight="1" x14ac:dyDescent="0.25"/>
    <row r="11" spans="1:7" ht="15" customHeight="1" x14ac:dyDescent="0.25"/>
    <row r="12" spans="1:7" ht="15" customHeight="1" x14ac:dyDescent="0.25"/>
    <row r="13" spans="1:7" ht="12.75" customHeight="1" x14ac:dyDescent="0.25"/>
    <row r="14" spans="1:7" ht="15" customHeight="1" x14ac:dyDescent="0.25"/>
    <row r="15" spans="1:7" ht="28.5" customHeight="1" x14ac:dyDescent="0.5">
      <c r="G15" s="33" t="s">
        <v>327</v>
      </c>
    </row>
    <row r="16" spans="1:7" ht="28.5" customHeight="1" x14ac:dyDescent="0.25"/>
    <row r="17" spans="6:9" ht="28.5" customHeight="1" x14ac:dyDescent="0.25"/>
    <row r="19" spans="6:9" ht="45.75" x14ac:dyDescent="0.65">
      <c r="G19" s="31" t="s">
        <v>372</v>
      </c>
    </row>
    <row r="20" spans="6:9" ht="33.75" x14ac:dyDescent="0.5">
      <c r="G20" s="30"/>
    </row>
    <row r="21" spans="6:9" ht="35.25" x14ac:dyDescent="0.5">
      <c r="G21" s="30"/>
      <c r="I21" s="32">
        <v>2024</v>
      </c>
    </row>
    <row r="22" spans="6:9" ht="33.75" x14ac:dyDescent="0.5">
      <c r="F22" s="30"/>
    </row>
    <row r="23" spans="6:9" ht="33.75" x14ac:dyDescent="0.5">
      <c r="F23" s="30"/>
    </row>
    <row r="24" spans="6:9" ht="33.75" x14ac:dyDescent="0.5">
      <c r="F24" s="30"/>
    </row>
    <row r="26" spans="6:9" ht="33.75" x14ac:dyDescent="0.5">
      <c r="F26" s="30"/>
    </row>
    <row r="27" spans="6:9" ht="33.75" x14ac:dyDescent="0.5">
      <c r="F27" s="30"/>
    </row>
    <row r="28" spans="6:9" ht="15" customHeight="1" x14ac:dyDescent="0.25"/>
  </sheetData>
  <mergeCells count="1">
    <mergeCell ref="B7:F7"/>
  </mergeCells>
  <dataValidations disablePrompts="1" count="1">
    <dataValidation type="list" allowBlank="1" showInputMessage="1" showErrorMessage="1" sqref="A6" xr:uid="{510F3CCA-8BE0-46A0-B70B-B5D0B120D374}">
      <formula1>"1,2,3,4,5"</formula1>
    </dataValidation>
  </dataValidations>
  <pageMargins left="4.1071428571428571E-2" right="0.23622047244094491" top="0.47916666666666669" bottom="0.74803149606299213" header="1.369047619047619E-2" footer="0.11811023622047245"/>
  <pageSetup scale="92" orientation="portrait" r:id="rId1"/>
  <headerFooter>
    <oddHeader>&amp;L         
  &amp;G</oddHeader>
    <oddFooter xml:space="preserve">&amp;L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3E1B-248E-4341-9F85-2B20722FACE4}">
  <sheetPr codeName="Hoja5">
    <tabColor rgb="FFFFC000"/>
  </sheetPr>
  <dimension ref="A41:AC375"/>
  <sheetViews>
    <sheetView view="pageLayout" zoomScale="85" zoomScaleNormal="100" zoomScalePageLayoutView="85" workbookViewId="0">
      <selection activeCell="Q234" sqref="Q234:S234"/>
    </sheetView>
  </sheetViews>
  <sheetFormatPr baseColWidth="10" defaultColWidth="3.140625" defaultRowHeight="21" customHeight="1" x14ac:dyDescent="0.25"/>
  <sheetData>
    <row r="41" spans="1:28" ht="21" customHeight="1" x14ac:dyDescent="0.3">
      <c r="D41" s="112" t="s">
        <v>373</v>
      </c>
      <c r="E41" s="112"/>
      <c r="F41" s="112"/>
      <c r="G41" s="112"/>
      <c r="H41" s="112"/>
      <c r="I41" s="112"/>
      <c r="J41" s="112"/>
      <c r="K41" s="112"/>
      <c r="L41" s="112"/>
      <c r="M41" s="112"/>
      <c r="N41" s="112"/>
      <c r="O41" s="112"/>
      <c r="P41" s="112"/>
      <c r="Q41" s="112"/>
      <c r="R41" s="112"/>
      <c r="S41" s="112"/>
      <c r="T41" s="112"/>
      <c r="U41" s="112"/>
      <c r="V41" s="112"/>
      <c r="W41" s="112"/>
      <c r="X41" s="112"/>
      <c r="Y41" s="112"/>
      <c r="Z41" s="112"/>
      <c r="AA41" s="112"/>
      <c r="AB41" s="112"/>
    </row>
    <row r="43" spans="1:28" ht="21" customHeight="1" x14ac:dyDescent="0.25">
      <c r="A43" s="16"/>
      <c r="D43" t="s">
        <v>374</v>
      </c>
      <c r="AB43">
        <v>3</v>
      </c>
    </row>
    <row r="44" spans="1:28" ht="21" customHeight="1" x14ac:dyDescent="0.25">
      <c r="D44" t="s">
        <v>375</v>
      </c>
      <c r="AB44">
        <v>3</v>
      </c>
    </row>
    <row r="45" spans="1:28" ht="21" customHeight="1" x14ac:dyDescent="0.25">
      <c r="D45" t="s">
        <v>376</v>
      </c>
      <c r="AB45">
        <v>3</v>
      </c>
    </row>
    <row r="46" spans="1:28" ht="21" customHeight="1" x14ac:dyDescent="0.25">
      <c r="D46" t="s">
        <v>377</v>
      </c>
      <c r="AB46">
        <v>4</v>
      </c>
    </row>
    <row r="47" spans="1:28" ht="21" customHeight="1" x14ac:dyDescent="0.25">
      <c r="D47" t="s">
        <v>378</v>
      </c>
      <c r="AB47">
        <v>5</v>
      </c>
    </row>
    <row r="48" spans="1:28" ht="21" customHeight="1" x14ac:dyDescent="0.25">
      <c r="D48" t="s">
        <v>379</v>
      </c>
      <c r="AB48">
        <v>6</v>
      </c>
    </row>
    <row r="49" spans="4:28" ht="21" customHeight="1" x14ac:dyDescent="0.25">
      <c r="D49" t="s">
        <v>380</v>
      </c>
      <c r="AB49">
        <v>7</v>
      </c>
    </row>
    <row r="50" spans="4:28" ht="21" customHeight="1" x14ac:dyDescent="0.25">
      <c r="D50" t="s">
        <v>381</v>
      </c>
      <c r="AB50">
        <v>8</v>
      </c>
    </row>
    <row r="51" spans="4:28" ht="21" customHeight="1" x14ac:dyDescent="0.25">
      <c r="D51" t="s">
        <v>382</v>
      </c>
      <c r="AB51">
        <v>9</v>
      </c>
    </row>
    <row r="52" spans="4:28" ht="21" customHeight="1" x14ac:dyDescent="0.5">
      <c r="D52" t="s">
        <v>383</v>
      </c>
      <c r="G52" s="33"/>
      <c r="AB52">
        <v>10</v>
      </c>
    </row>
    <row r="53" spans="4:28" ht="21" customHeight="1" x14ac:dyDescent="0.25">
      <c r="D53" t="s">
        <v>384</v>
      </c>
      <c r="AB53">
        <v>10</v>
      </c>
    </row>
    <row r="54" spans="4:28" ht="21" customHeight="1" x14ac:dyDescent="0.25">
      <c r="D54" t="s">
        <v>385</v>
      </c>
      <c r="AB54">
        <v>11</v>
      </c>
    </row>
    <row r="56" spans="4:28" ht="21" customHeight="1" x14ac:dyDescent="0.65">
      <c r="G56" s="31"/>
    </row>
    <row r="57" spans="4:28" ht="21" customHeight="1" x14ac:dyDescent="0.5">
      <c r="G57" s="30"/>
    </row>
    <row r="58" spans="4:28" ht="21" customHeight="1" x14ac:dyDescent="0.5">
      <c r="G58" s="30"/>
      <c r="I58" s="32"/>
    </row>
    <row r="59" spans="4:28" ht="21" customHeight="1" x14ac:dyDescent="0.5">
      <c r="F59" s="30"/>
    </row>
    <row r="60" spans="4:28" ht="21" customHeight="1" x14ac:dyDescent="0.5">
      <c r="F60" s="30"/>
    </row>
    <row r="61" spans="4:28" ht="21" customHeight="1" x14ac:dyDescent="0.5">
      <c r="F61" s="30"/>
    </row>
    <row r="62" spans="4:28" ht="21" customHeight="1" x14ac:dyDescent="0.5">
      <c r="F62" s="30"/>
    </row>
    <row r="64" spans="4:28" ht="21" customHeight="1" x14ac:dyDescent="0.5">
      <c r="F64" s="30"/>
    </row>
    <row r="65" spans="3:17" ht="21" customHeight="1" x14ac:dyDescent="0.5">
      <c r="F65" s="30"/>
    </row>
    <row r="71" spans="3:17" ht="21" customHeight="1" x14ac:dyDescent="0.25">
      <c r="Q71">
        <v>1</v>
      </c>
    </row>
    <row r="74" spans="3:17" ht="12.75" customHeight="1" x14ac:dyDescent="0.25"/>
    <row r="80" spans="3:17" ht="21" customHeight="1" x14ac:dyDescent="0.25">
      <c r="C80" s="35" t="s">
        <v>374</v>
      </c>
    </row>
    <row r="81" spans="3:29" ht="21" customHeight="1" x14ac:dyDescent="0.25">
      <c r="C81" s="34"/>
    </row>
    <row r="82" spans="3:29" ht="21" customHeight="1" x14ac:dyDescent="0.25">
      <c r="C82" t="s">
        <v>386</v>
      </c>
      <c r="K82" t="s">
        <v>387</v>
      </c>
    </row>
    <row r="84" spans="3:29" ht="21" customHeight="1" x14ac:dyDescent="0.25">
      <c r="C84" t="s">
        <v>388</v>
      </c>
      <c r="K84" t="s">
        <v>389</v>
      </c>
    </row>
    <row r="86" spans="3:29" ht="21" customHeight="1" x14ac:dyDescent="0.25">
      <c r="C86" t="s">
        <v>390</v>
      </c>
      <c r="K86" t="s">
        <v>391</v>
      </c>
    </row>
    <row r="87" spans="3:29" ht="21" customHeight="1" x14ac:dyDescent="0.25">
      <c r="C87" s="36"/>
    </row>
    <row r="88" spans="3:29" ht="21" customHeight="1" x14ac:dyDescent="0.25">
      <c r="C88" s="37" t="s">
        <v>392</v>
      </c>
    </row>
    <row r="89" spans="3:29" ht="21" customHeight="1" x14ac:dyDescent="0.25">
      <c r="C89" s="38"/>
    </row>
    <row r="90" spans="3:29" ht="21" customHeight="1" x14ac:dyDescent="0.25">
      <c r="C90" s="78" t="s">
        <v>436</v>
      </c>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row>
    <row r="91" spans="3:29" ht="21" customHeight="1" x14ac:dyDescent="0.25">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row>
    <row r="92" spans="3:29" ht="21" customHeight="1" x14ac:dyDescent="0.25">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row>
    <row r="93" spans="3:29" ht="21" customHeight="1" x14ac:dyDescent="0.25">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row>
    <row r="94" spans="3:29" ht="21" customHeight="1" x14ac:dyDescent="0.25">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row>
    <row r="95" spans="3:29" ht="21" customHeight="1" x14ac:dyDescent="0.25">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row>
    <row r="96" spans="3:29" ht="21" customHeight="1" x14ac:dyDescent="0.25">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row>
    <row r="97" spans="3:29" ht="21" customHeight="1" x14ac:dyDescent="0.25">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row>
    <row r="98" spans="3:29" ht="21" customHeight="1" x14ac:dyDescent="0.25">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row>
    <row r="99" spans="3:29" ht="21" customHeight="1" x14ac:dyDescent="0.25">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row>
    <row r="100" spans="3:29" ht="21" customHeight="1" x14ac:dyDescent="0.25">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row>
    <row r="101" spans="3:29" ht="21" customHeight="1" x14ac:dyDescent="0.25">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row>
    <row r="102" spans="3:29" ht="21" customHeight="1" x14ac:dyDescent="0.25">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row>
    <row r="103" spans="3:29" ht="21" customHeight="1" x14ac:dyDescent="0.25">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row>
    <row r="104" spans="3:29" ht="21" customHeight="1" x14ac:dyDescent="0.25">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row>
    <row r="105" spans="3:29" ht="21" customHeight="1" x14ac:dyDescent="0.25">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row>
    <row r="106" spans="3:29" ht="21" customHeight="1" x14ac:dyDescent="0.25">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row>
    <row r="107" spans="3:29" ht="21" customHeight="1" x14ac:dyDescent="0.25">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row>
    <row r="108" spans="3:29" ht="21" customHeight="1" x14ac:dyDescent="0.25">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row>
    <row r="109" spans="3:29" ht="21" customHeight="1" x14ac:dyDescent="0.25">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row>
    <row r="110" spans="3:29" ht="21" customHeight="1" x14ac:dyDescent="0.25">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row>
    <row r="115" spans="1:29" ht="21" customHeight="1" x14ac:dyDescent="0.25">
      <c r="C115" s="35" t="s">
        <v>393</v>
      </c>
    </row>
    <row r="116" spans="1:29" ht="21" customHeight="1" x14ac:dyDescent="0.25">
      <c r="C116" s="38"/>
    </row>
    <row r="117" spans="1:29" ht="21" customHeight="1" x14ac:dyDescent="0.25">
      <c r="C117" s="43" t="s">
        <v>394</v>
      </c>
      <c r="D117" s="42"/>
    </row>
    <row r="118" spans="1:29" ht="21" customHeight="1" x14ac:dyDescent="0.25">
      <c r="C118" s="78" t="s">
        <v>437</v>
      </c>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row>
    <row r="119" spans="1:29" ht="21" customHeight="1" x14ac:dyDescent="0.25">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row>
    <row r="120" spans="1:29" ht="21" customHeight="1" x14ac:dyDescent="0.25">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row>
    <row r="121" spans="1:29" ht="21" customHeight="1" x14ac:dyDescent="0.25">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row>
    <row r="123" spans="1:29" ht="21" customHeight="1" x14ac:dyDescent="0.25">
      <c r="C123" s="43" t="s">
        <v>395</v>
      </c>
    </row>
    <row r="124" spans="1:29" ht="21" customHeight="1" x14ac:dyDescent="0.25">
      <c r="C124" s="39"/>
    </row>
    <row r="125" spans="1:29" ht="21" customHeight="1" x14ac:dyDescent="0.25">
      <c r="C125" s="113" t="s">
        <v>407</v>
      </c>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row>
    <row r="126" spans="1:29" ht="21" customHeight="1" x14ac:dyDescent="0.25">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row>
    <row r="127" spans="1:29" ht="21" customHeight="1" x14ac:dyDescent="0.25">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row>
    <row r="128" spans="1:29" ht="21" customHeight="1" x14ac:dyDescent="0.25">
      <c r="A128" s="44"/>
      <c r="B128" s="44"/>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row>
    <row r="129" spans="1:29" ht="21" customHeight="1" x14ac:dyDescent="0.25">
      <c r="A129" s="44"/>
      <c r="B129" s="44"/>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row>
    <row r="130" spans="1:29" ht="21" customHeight="1" x14ac:dyDescent="0.25">
      <c r="A130" s="44"/>
      <c r="B130" s="44"/>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row>
    <row r="131" spans="1:29" ht="21" customHeight="1" x14ac:dyDescent="0.25">
      <c r="A131" s="44"/>
      <c r="B131" s="44"/>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row>
    <row r="132" spans="1:29" ht="21" customHeight="1" x14ac:dyDescent="0.25">
      <c r="A132" s="44"/>
      <c r="B132" s="44"/>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row>
    <row r="133" spans="1:29" ht="21" customHeight="1" x14ac:dyDescent="0.25">
      <c r="A133" s="44"/>
      <c r="B133" s="44"/>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row>
    <row r="134" spans="1:29" ht="21" customHeight="1" x14ac:dyDescent="0.25">
      <c r="A134" s="44"/>
      <c r="B134" s="44"/>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row>
    <row r="135" spans="1:29" ht="21" customHeight="1" x14ac:dyDescent="0.25">
      <c r="A135" s="44"/>
      <c r="B135" s="44"/>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row>
    <row r="136" spans="1:29" ht="21" customHeight="1" x14ac:dyDescent="0.25">
      <c r="A136" s="44"/>
      <c r="B136" s="44"/>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row>
    <row r="137" spans="1:29" ht="21" customHeight="1" x14ac:dyDescent="0.25">
      <c r="A137" s="44"/>
      <c r="B137" s="44"/>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row>
    <row r="138" spans="1:29" ht="21" customHeight="1" x14ac:dyDescent="0.25">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row>
    <row r="139" spans="1:29" ht="21" customHeight="1" x14ac:dyDescent="0.25">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row>
    <row r="140" spans="1:29" ht="21" customHeight="1" x14ac:dyDescent="0.25">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row>
    <row r="141" spans="1:29" ht="21" customHeight="1" x14ac:dyDescent="0.25">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row>
    <row r="142" spans="1:29" ht="21" customHeight="1" x14ac:dyDescent="0.25">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row>
    <row r="143" spans="1:29" ht="21" customHeight="1" x14ac:dyDescent="0.25">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row>
    <row r="153" spans="3:29" ht="21" customHeight="1" x14ac:dyDescent="0.25">
      <c r="C153" s="78" t="s">
        <v>438</v>
      </c>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row>
    <row r="154" spans="3:29" ht="21" customHeight="1" x14ac:dyDescent="0.25">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row>
    <row r="155" spans="3:29" ht="21" customHeight="1" x14ac:dyDescent="0.25">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row>
    <row r="156" spans="3:29" ht="21" customHeight="1" x14ac:dyDescent="0.25">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row>
    <row r="157" spans="3:29" ht="21" customHeight="1" x14ac:dyDescent="0.25">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row>
    <row r="158" spans="3:29" ht="21" customHeight="1" x14ac:dyDescent="0.25">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row>
    <row r="159" spans="3:29" ht="21" customHeight="1" x14ac:dyDescent="0.25">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row>
    <row r="160" spans="3:29" ht="21" customHeight="1" x14ac:dyDescent="0.25">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row>
    <row r="161" spans="3:29" ht="21" customHeight="1" x14ac:dyDescent="0.25">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row>
    <row r="162" spans="3:29" ht="21" customHeight="1" x14ac:dyDescent="0.25">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row>
    <row r="163" spans="3:29" ht="21" customHeight="1" x14ac:dyDescent="0.25">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row>
    <row r="164" spans="3:29" ht="21" customHeight="1" x14ac:dyDescent="0.25">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row>
    <row r="165" spans="3:29" ht="21" customHeight="1" x14ac:dyDescent="0.25">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row>
    <row r="166" spans="3:29" ht="21" customHeight="1" x14ac:dyDescent="0.25">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row>
    <row r="167" spans="3:29" ht="21" customHeight="1" x14ac:dyDescent="0.25">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row>
    <row r="168" spans="3:29" ht="21" customHeight="1" x14ac:dyDescent="0.25">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row>
    <row r="169" spans="3:29" ht="21" customHeight="1" x14ac:dyDescent="0.25">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row>
    <row r="170" spans="3:29" ht="21" customHeight="1" x14ac:dyDescent="0.25">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row>
    <row r="171" spans="3:29" ht="21" customHeight="1" x14ac:dyDescent="0.25">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row>
    <row r="172" spans="3:29" ht="21" customHeight="1" x14ac:dyDescent="0.25">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row>
    <row r="173" spans="3:29" ht="21" customHeight="1" x14ac:dyDescent="0.25">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row>
    <row r="174" spans="3:29" ht="21" customHeight="1" x14ac:dyDescent="0.25">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row>
    <row r="175" spans="3:29" ht="21" customHeight="1" x14ac:dyDescent="0.25">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row>
    <row r="176" spans="3:29" ht="21" customHeight="1" x14ac:dyDescent="0.25">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row>
    <row r="177" spans="2:29" ht="21" customHeight="1" x14ac:dyDescent="0.25">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row>
    <row r="178" spans="2:29" ht="21" customHeight="1" x14ac:dyDescent="0.25">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row>
    <row r="179" spans="2:29" ht="21" customHeight="1" x14ac:dyDescent="0.25">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row>
    <row r="180" spans="2:29" ht="21" customHeight="1" x14ac:dyDescent="0.25">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row>
    <row r="181" spans="2:29" ht="21" customHeight="1" x14ac:dyDescent="0.25">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row>
    <row r="182" spans="2:29" ht="21" customHeight="1" x14ac:dyDescent="0.25">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row>
    <row r="191" spans="2:29" ht="21" customHeight="1" x14ac:dyDescent="0.25">
      <c r="B191" s="82" t="s">
        <v>408</v>
      </c>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row>
    <row r="192" spans="2:29" ht="21" customHeight="1" x14ac:dyDescent="0.25">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row>
    <row r="193" spans="2:29" ht="21" customHeight="1" x14ac:dyDescent="0.25">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row>
    <row r="194" spans="2:29" ht="21" customHeight="1" x14ac:dyDescent="0.25">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row>
    <row r="195" spans="2:29" ht="21" customHeight="1" x14ac:dyDescent="0.25">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row>
    <row r="196" spans="2:29" ht="21" customHeight="1" x14ac:dyDescent="0.25">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row>
    <row r="197" spans="2:29" ht="21" customHeight="1" x14ac:dyDescent="0.25">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row>
    <row r="198" spans="2:29" ht="21" customHeight="1" x14ac:dyDescent="0.25">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row>
    <row r="199" spans="2:29" ht="21" customHeight="1" x14ac:dyDescent="0.25">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row>
    <row r="200" spans="2:29" ht="21" customHeight="1" x14ac:dyDescent="0.25">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row>
    <row r="201" spans="2:29" ht="21" customHeight="1" x14ac:dyDescent="0.25">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row>
    <row r="202" spans="2:29" ht="21" customHeight="1" x14ac:dyDescent="0.25">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row>
    <row r="203" spans="2:29" ht="21" customHeight="1" x14ac:dyDescent="0.25">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row>
    <row r="204" spans="2:29" ht="21" customHeight="1" x14ac:dyDescent="0.25">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row>
    <row r="205" spans="2:29" ht="21" customHeight="1" x14ac:dyDescent="0.25">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row>
    <row r="206" spans="2:29" ht="21" customHeight="1" x14ac:dyDescent="0.25">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row>
    <row r="207" spans="2:29" ht="21" customHeight="1" x14ac:dyDescent="0.25">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row>
    <row r="208" spans="2:29" ht="21" customHeight="1" x14ac:dyDescent="0.25">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row>
    <row r="209" spans="2:29" ht="21" customHeight="1" x14ac:dyDescent="0.25">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row>
    <row r="210" spans="2:29" ht="21" customHeight="1" x14ac:dyDescent="0.25">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row>
    <row r="211" spans="2:29" ht="21" customHeight="1" x14ac:dyDescent="0.25">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row>
    <row r="212" spans="2:29" ht="21" customHeight="1" x14ac:dyDescent="0.25">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row>
    <row r="213" spans="2:29" ht="21" customHeight="1" x14ac:dyDescent="0.25">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row>
    <row r="214" spans="2:29" ht="21" customHeight="1" x14ac:dyDescent="0.25">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row>
    <row r="215" spans="2:29" ht="21" customHeight="1" x14ac:dyDescent="0.25">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row>
    <row r="216" spans="2:29" ht="21" customHeight="1" x14ac:dyDescent="0.25">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row>
    <row r="217" spans="2:29" ht="21" customHeight="1" x14ac:dyDescent="0.25">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row>
    <row r="218" spans="2:29" ht="21" customHeight="1" x14ac:dyDescent="0.25">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row>
    <row r="219" spans="2:29" ht="21" customHeight="1" x14ac:dyDescent="0.25">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row>
    <row r="220" spans="2:29" ht="21" customHeight="1" x14ac:dyDescent="0.25">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row>
    <row r="221" spans="2:29" ht="21" customHeight="1" x14ac:dyDescent="0.25">
      <c r="Y221" s="16"/>
    </row>
    <row r="226" spans="1:28" ht="21" customHeight="1" x14ac:dyDescent="0.3">
      <c r="B226" s="40" t="s">
        <v>396</v>
      </c>
    </row>
    <row r="227" spans="1:28" ht="9" customHeight="1" x14ac:dyDescent="0.25"/>
    <row r="228" spans="1:28" ht="36.75" customHeight="1" thickBot="1" x14ac:dyDescent="0.3">
      <c r="C228" s="90" t="s">
        <v>7</v>
      </c>
      <c r="D228" s="90"/>
      <c r="E228" s="90"/>
      <c r="F228" s="90"/>
      <c r="G228" s="90"/>
      <c r="H228" s="90" t="s">
        <v>9</v>
      </c>
      <c r="I228" s="90"/>
      <c r="J228" s="90"/>
      <c r="K228" s="90"/>
      <c r="L228" s="90"/>
      <c r="M228" s="90"/>
      <c r="N228" s="90"/>
      <c r="O228" s="90"/>
      <c r="P228" s="90"/>
      <c r="Q228" s="96" t="s">
        <v>4</v>
      </c>
      <c r="R228" s="96"/>
      <c r="S228" s="96"/>
      <c r="T228" s="96" t="s">
        <v>5</v>
      </c>
      <c r="U228" s="96"/>
      <c r="V228" s="96"/>
      <c r="W228" s="96" t="s">
        <v>56</v>
      </c>
      <c r="X228" s="96"/>
      <c r="Y228" s="96"/>
      <c r="Z228" s="96" t="s">
        <v>38</v>
      </c>
      <c r="AA228" s="96"/>
      <c r="AB228" s="96"/>
    </row>
    <row r="229" spans="1:28" ht="27.75" customHeight="1" x14ac:dyDescent="0.25">
      <c r="A229" s="16">
        <v>1</v>
      </c>
      <c r="C229" s="106" t="s">
        <v>346</v>
      </c>
      <c r="D229" s="107"/>
      <c r="E229" s="107"/>
      <c r="F229" s="107"/>
      <c r="G229" s="107"/>
      <c r="H229" s="107" t="s">
        <v>24</v>
      </c>
      <c r="I229" s="107"/>
      <c r="J229" s="107"/>
      <c r="K229" s="107"/>
      <c r="L229" s="107"/>
      <c r="M229" s="107"/>
      <c r="N229" s="107"/>
      <c r="O229" s="107"/>
      <c r="P229" s="107"/>
      <c r="Q229" s="101">
        <v>45355</v>
      </c>
      <c r="R229" s="101"/>
      <c r="S229" s="101"/>
      <c r="T229" s="101">
        <v>45357</v>
      </c>
      <c r="U229" s="101"/>
      <c r="V229" s="101"/>
      <c r="W229" s="92" t="s">
        <v>14</v>
      </c>
      <c r="X229" s="92"/>
      <c r="Y229" s="92"/>
      <c r="Z229" s="92">
        <v>0</v>
      </c>
      <c r="AA229" s="92"/>
      <c r="AB229" s="93"/>
    </row>
    <row r="230" spans="1:28" ht="27.75" customHeight="1" x14ac:dyDescent="0.25">
      <c r="A230" s="16">
        <v>1</v>
      </c>
      <c r="C230" s="108"/>
      <c r="D230" s="109"/>
      <c r="E230" s="109"/>
      <c r="F230" s="109"/>
      <c r="G230" s="109"/>
      <c r="H230" s="87" t="s">
        <v>339</v>
      </c>
      <c r="I230" s="87"/>
      <c r="J230" s="87"/>
      <c r="K230" s="87"/>
      <c r="L230" s="87"/>
      <c r="M230" s="87"/>
      <c r="N230" s="87"/>
      <c r="O230" s="87"/>
      <c r="P230" s="87"/>
      <c r="Q230" s="102">
        <v>45358</v>
      </c>
      <c r="R230" s="102"/>
      <c r="S230" s="102"/>
      <c r="T230" s="102">
        <v>45362</v>
      </c>
      <c r="U230" s="102"/>
      <c r="V230" s="102"/>
      <c r="W230" s="94" t="s">
        <v>15</v>
      </c>
      <c r="X230" s="94"/>
      <c r="Y230" s="94"/>
      <c r="Z230" s="94">
        <v>100</v>
      </c>
      <c r="AA230" s="94"/>
      <c r="AB230" s="95"/>
    </row>
    <row r="231" spans="1:28" ht="27.75" customHeight="1" thickBot="1" x14ac:dyDescent="0.3">
      <c r="A231" s="16">
        <v>1</v>
      </c>
      <c r="C231" s="110"/>
      <c r="D231" s="111"/>
      <c r="E231" s="111"/>
      <c r="F231" s="111"/>
      <c r="G231" s="111"/>
      <c r="H231" s="111" t="s">
        <v>362</v>
      </c>
      <c r="I231" s="111"/>
      <c r="J231" s="111"/>
      <c r="K231" s="111"/>
      <c r="L231" s="111"/>
      <c r="M231" s="111"/>
      <c r="N231" s="111"/>
      <c r="O231" s="111"/>
      <c r="P231" s="111"/>
      <c r="Q231" s="104">
        <v>45364</v>
      </c>
      <c r="R231" s="104"/>
      <c r="S231" s="104"/>
      <c r="T231" s="104">
        <v>45367</v>
      </c>
      <c r="U231" s="104"/>
      <c r="V231" s="104"/>
      <c r="W231" s="97" t="s">
        <v>15</v>
      </c>
      <c r="X231" s="97"/>
      <c r="Y231" s="97"/>
      <c r="Z231" s="97">
        <v>100</v>
      </c>
      <c r="AA231" s="97"/>
      <c r="AB231" s="98"/>
    </row>
    <row r="232" spans="1:28" ht="27.75" customHeight="1" x14ac:dyDescent="0.25">
      <c r="A232" s="16">
        <v>2</v>
      </c>
      <c r="C232" s="106" t="s">
        <v>347</v>
      </c>
      <c r="D232" s="107"/>
      <c r="E232" s="107"/>
      <c r="F232" s="107"/>
      <c r="G232" s="107"/>
      <c r="H232" s="114" t="s">
        <v>24</v>
      </c>
      <c r="I232" s="114"/>
      <c r="J232" s="114"/>
      <c r="K232" s="114"/>
      <c r="L232" s="114"/>
      <c r="M232" s="114"/>
      <c r="N232" s="114"/>
      <c r="O232" s="114"/>
      <c r="P232" s="114"/>
      <c r="Q232" s="105">
        <v>45369</v>
      </c>
      <c r="R232" s="105"/>
      <c r="S232" s="105"/>
      <c r="T232" s="105">
        <v>45372</v>
      </c>
      <c r="U232" s="105"/>
      <c r="V232" s="105"/>
      <c r="W232" s="99" t="s">
        <v>14</v>
      </c>
      <c r="X232" s="99"/>
      <c r="Y232" s="99"/>
      <c r="Z232" s="99">
        <v>0</v>
      </c>
      <c r="AA232" s="99"/>
      <c r="AB232" s="100"/>
    </row>
    <row r="233" spans="1:28" ht="27.75" customHeight="1" x14ac:dyDescent="0.25">
      <c r="A233" s="16">
        <v>2</v>
      </c>
      <c r="C233" s="108"/>
      <c r="D233" s="109"/>
      <c r="E233" s="109"/>
      <c r="F233" s="109"/>
      <c r="G233" s="109"/>
      <c r="H233" s="109" t="s">
        <v>339</v>
      </c>
      <c r="I233" s="109"/>
      <c r="J233" s="109"/>
      <c r="K233" s="109"/>
      <c r="L233" s="109"/>
      <c r="M233" s="109"/>
      <c r="N233" s="109"/>
      <c r="O233" s="109"/>
      <c r="P233" s="109"/>
      <c r="Q233" s="103">
        <v>45372</v>
      </c>
      <c r="R233" s="103"/>
      <c r="S233" s="103"/>
      <c r="T233" s="103">
        <v>45380</v>
      </c>
      <c r="U233" s="103"/>
      <c r="V233" s="103"/>
      <c r="W233" s="78" t="s">
        <v>15</v>
      </c>
      <c r="X233" s="78"/>
      <c r="Y233" s="78"/>
      <c r="Z233" s="78">
        <v>100</v>
      </c>
      <c r="AA233" s="78"/>
      <c r="AB233" s="91"/>
    </row>
    <row r="234" spans="1:28" ht="27.75" customHeight="1" thickBot="1" x14ac:dyDescent="0.3">
      <c r="A234" s="16">
        <v>2</v>
      </c>
      <c r="C234" s="110"/>
      <c r="D234" s="111"/>
      <c r="E234" s="111"/>
      <c r="F234" s="111"/>
      <c r="G234" s="111"/>
      <c r="H234" s="81" t="s">
        <v>362</v>
      </c>
      <c r="I234" s="81"/>
      <c r="J234" s="81"/>
      <c r="K234" s="81"/>
      <c r="L234" s="81"/>
      <c r="M234" s="81"/>
      <c r="N234" s="81"/>
      <c r="O234" s="81"/>
      <c r="P234" s="81"/>
      <c r="Q234" s="84">
        <v>45383</v>
      </c>
      <c r="R234" s="84"/>
      <c r="S234" s="84"/>
      <c r="T234" s="84">
        <v>45389</v>
      </c>
      <c r="U234" s="84"/>
      <c r="V234" s="84"/>
      <c r="W234" s="88" t="s">
        <v>15</v>
      </c>
      <c r="X234" s="88"/>
      <c r="Y234" s="88"/>
      <c r="Z234" s="88">
        <v>100</v>
      </c>
      <c r="AA234" s="88"/>
      <c r="AB234" s="89"/>
    </row>
    <row r="235" spans="1:28" ht="27.75" customHeight="1" x14ac:dyDescent="0.25">
      <c r="A235" s="16">
        <v>3</v>
      </c>
      <c r="C235" s="106" t="s">
        <v>348</v>
      </c>
      <c r="D235" s="107"/>
      <c r="E235" s="107"/>
      <c r="F235" s="107"/>
      <c r="G235" s="107"/>
      <c r="H235" s="107" t="s">
        <v>24</v>
      </c>
      <c r="I235" s="107"/>
      <c r="J235" s="107"/>
      <c r="K235" s="107"/>
      <c r="L235" s="107"/>
      <c r="M235" s="107"/>
      <c r="N235" s="107"/>
      <c r="O235" s="107"/>
      <c r="P235" s="107"/>
      <c r="Q235" s="101">
        <v>45408</v>
      </c>
      <c r="R235" s="101"/>
      <c r="S235" s="101"/>
      <c r="T235" s="101">
        <v>45411</v>
      </c>
      <c r="U235" s="101"/>
      <c r="V235" s="101"/>
      <c r="W235" s="92" t="s">
        <v>14</v>
      </c>
      <c r="X235" s="92"/>
      <c r="Y235" s="92"/>
      <c r="Z235" s="92">
        <v>0</v>
      </c>
      <c r="AA235" s="92"/>
      <c r="AB235" s="93"/>
    </row>
    <row r="236" spans="1:28" ht="27.75" customHeight="1" x14ac:dyDescent="0.25">
      <c r="A236" s="16">
        <v>3</v>
      </c>
      <c r="C236" s="108"/>
      <c r="D236" s="109"/>
      <c r="E236" s="109"/>
      <c r="F236" s="109"/>
      <c r="G236" s="109"/>
      <c r="H236" s="87" t="s">
        <v>339</v>
      </c>
      <c r="I236" s="87"/>
      <c r="J236" s="87"/>
      <c r="K236" s="87"/>
      <c r="L236" s="87"/>
      <c r="M236" s="87"/>
      <c r="N236" s="87"/>
      <c r="O236" s="87"/>
      <c r="P236" s="87"/>
      <c r="Q236" s="102">
        <v>45413</v>
      </c>
      <c r="R236" s="102"/>
      <c r="S236" s="102"/>
      <c r="T236" s="102">
        <v>45416</v>
      </c>
      <c r="U236" s="102"/>
      <c r="V236" s="102"/>
      <c r="W236" s="94" t="s">
        <v>15</v>
      </c>
      <c r="X236" s="94"/>
      <c r="Y236" s="94"/>
      <c r="Z236" s="94">
        <v>100</v>
      </c>
      <c r="AA236" s="94"/>
      <c r="AB236" s="95"/>
    </row>
    <row r="237" spans="1:28" ht="27.75" customHeight="1" thickBot="1" x14ac:dyDescent="0.3">
      <c r="A237" s="16">
        <v>3</v>
      </c>
      <c r="C237" s="110"/>
      <c r="D237" s="111"/>
      <c r="E237" s="111"/>
      <c r="F237" s="111"/>
      <c r="G237" s="111"/>
      <c r="H237" s="111" t="s">
        <v>362</v>
      </c>
      <c r="I237" s="111"/>
      <c r="J237" s="111"/>
      <c r="K237" s="111"/>
      <c r="L237" s="111"/>
      <c r="M237" s="111"/>
      <c r="N237" s="111"/>
      <c r="O237" s="111"/>
      <c r="P237" s="111"/>
      <c r="Q237" s="104">
        <v>45418</v>
      </c>
      <c r="R237" s="104"/>
      <c r="S237" s="104"/>
      <c r="T237" s="104">
        <v>45423</v>
      </c>
      <c r="U237" s="104"/>
      <c r="V237" s="104"/>
      <c r="W237" s="97" t="s">
        <v>15</v>
      </c>
      <c r="X237" s="97"/>
      <c r="Y237" s="97"/>
      <c r="Z237" s="97">
        <v>100</v>
      </c>
      <c r="AA237" s="97"/>
      <c r="AB237" s="98"/>
    </row>
    <row r="238" spans="1:28" ht="27.75" customHeight="1" x14ac:dyDescent="0.25">
      <c r="A238" s="16">
        <v>4</v>
      </c>
      <c r="C238" s="106" t="s">
        <v>349</v>
      </c>
      <c r="D238" s="107"/>
      <c r="E238" s="107"/>
      <c r="F238" s="107"/>
      <c r="G238" s="107"/>
      <c r="H238" s="114" t="s">
        <v>24</v>
      </c>
      <c r="I238" s="114"/>
      <c r="J238" s="114"/>
      <c r="K238" s="114"/>
      <c r="L238" s="114"/>
      <c r="M238" s="114"/>
      <c r="N238" s="114"/>
      <c r="O238" s="114"/>
      <c r="P238" s="114"/>
      <c r="Q238" s="105">
        <v>45425</v>
      </c>
      <c r="R238" s="105"/>
      <c r="S238" s="105"/>
      <c r="T238" s="105">
        <v>45428</v>
      </c>
      <c r="U238" s="105"/>
      <c r="V238" s="105"/>
      <c r="W238" s="99" t="s">
        <v>14</v>
      </c>
      <c r="X238" s="99"/>
      <c r="Y238" s="99"/>
      <c r="Z238" s="99">
        <v>0</v>
      </c>
      <c r="AA238" s="99"/>
      <c r="AB238" s="100"/>
    </row>
    <row r="239" spans="1:28" ht="27.75" customHeight="1" x14ac:dyDescent="0.25">
      <c r="A239" s="16">
        <v>4</v>
      </c>
      <c r="C239" s="108"/>
      <c r="D239" s="109"/>
      <c r="E239" s="109"/>
      <c r="F239" s="109"/>
      <c r="G239" s="109"/>
      <c r="H239" s="109" t="s">
        <v>339</v>
      </c>
      <c r="I239" s="109"/>
      <c r="J239" s="109"/>
      <c r="K239" s="109"/>
      <c r="L239" s="109"/>
      <c r="M239" s="109"/>
      <c r="N239" s="109"/>
      <c r="O239" s="109"/>
      <c r="P239" s="109"/>
      <c r="Q239" s="103">
        <v>45429</v>
      </c>
      <c r="R239" s="103"/>
      <c r="S239" s="103"/>
      <c r="T239" s="103">
        <v>45436</v>
      </c>
      <c r="U239" s="103"/>
      <c r="V239" s="103"/>
      <c r="W239" s="78" t="s">
        <v>15</v>
      </c>
      <c r="X239" s="78"/>
      <c r="Y239" s="78"/>
      <c r="Z239" s="78">
        <v>100</v>
      </c>
      <c r="AA239" s="78"/>
      <c r="AB239" s="91"/>
    </row>
    <row r="240" spans="1:28" ht="27.75" customHeight="1" thickBot="1" x14ac:dyDescent="0.3">
      <c r="A240" s="16">
        <v>4</v>
      </c>
      <c r="C240" s="110"/>
      <c r="D240" s="111"/>
      <c r="E240" s="111"/>
      <c r="F240" s="111"/>
      <c r="G240" s="111"/>
      <c r="H240" s="81" t="s">
        <v>362</v>
      </c>
      <c r="I240" s="81"/>
      <c r="J240" s="81"/>
      <c r="K240" s="81"/>
      <c r="L240" s="81"/>
      <c r="M240" s="81"/>
      <c r="N240" s="81"/>
      <c r="O240" s="81"/>
      <c r="P240" s="81"/>
      <c r="Q240" s="84">
        <v>45439</v>
      </c>
      <c r="R240" s="84"/>
      <c r="S240" s="84"/>
      <c r="T240" s="84">
        <v>45443</v>
      </c>
      <c r="U240" s="84"/>
      <c r="V240" s="84"/>
      <c r="W240" s="88" t="s">
        <v>15</v>
      </c>
      <c r="X240" s="88"/>
      <c r="Y240" s="88"/>
      <c r="Z240" s="88">
        <v>100</v>
      </c>
      <c r="AA240" s="88"/>
      <c r="AB240" s="89"/>
    </row>
    <row r="241" spans="1:28" ht="24" customHeight="1" x14ac:dyDescent="0.25">
      <c r="A241" s="16"/>
      <c r="C241" s="106" t="s">
        <v>354</v>
      </c>
      <c r="D241" s="107"/>
      <c r="E241" s="107"/>
      <c r="F241" s="107"/>
      <c r="G241" s="107"/>
      <c r="H241" s="86" t="s">
        <v>355</v>
      </c>
      <c r="I241" s="86"/>
      <c r="J241" s="86"/>
      <c r="K241" s="86"/>
      <c r="L241" s="86"/>
      <c r="M241" s="86"/>
      <c r="N241" s="86"/>
      <c r="O241" s="86"/>
      <c r="P241" s="86"/>
      <c r="Q241" s="101">
        <v>45364</v>
      </c>
      <c r="R241" s="101"/>
      <c r="S241" s="101"/>
      <c r="T241" s="101">
        <v>45364</v>
      </c>
      <c r="U241" s="101"/>
      <c r="V241" s="101"/>
      <c r="W241" s="92" t="s">
        <v>14</v>
      </c>
      <c r="X241" s="92"/>
      <c r="Y241" s="92"/>
      <c r="Z241" s="92">
        <v>0</v>
      </c>
      <c r="AA241" s="92"/>
      <c r="AB241" s="93"/>
    </row>
    <row r="242" spans="1:28" ht="24" customHeight="1" x14ac:dyDescent="0.25">
      <c r="A242" s="16"/>
      <c r="C242" s="108"/>
      <c r="D242" s="109"/>
      <c r="E242" s="109"/>
      <c r="F242" s="109"/>
      <c r="G242" s="109"/>
      <c r="H242" s="87" t="s">
        <v>356</v>
      </c>
      <c r="I242" s="87"/>
      <c r="J242" s="87"/>
      <c r="K242" s="87"/>
      <c r="L242" s="87"/>
      <c r="M242" s="87"/>
      <c r="N242" s="87"/>
      <c r="O242" s="87"/>
      <c r="P242" s="87"/>
      <c r="Q242" s="102">
        <v>45371</v>
      </c>
      <c r="R242" s="102"/>
      <c r="S242" s="102"/>
      <c r="T242" s="102">
        <v>45371</v>
      </c>
      <c r="U242" s="102"/>
      <c r="V242" s="102"/>
      <c r="W242" s="94" t="s">
        <v>14</v>
      </c>
      <c r="X242" s="94"/>
      <c r="Y242" s="94"/>
      <c r="Z242" s="94">
        <v>0</v>
      </c>
      <c r="AA242" s="94"/>
      <c r="AB242" s="95"/>
    </row>
    <row r="243" spans="1:28" ht="24" customHeight="1" x14ac:dyDescent="0.25">
      <c r="A243" s="16"/>
      <c r="C243" s="108"/>
      <c r="D243" s="109"/>
      <c r="E243" s="109"/>
      <c r="F243" s="109"/>
      <c r="G243" s="109"/>
      <c r="H243" s="85" t="s">
        <v>357</v>
      </c>
      <c r="I243" s="85"/>
      <c r="J243" s="85"/>
      <c r="K243" s="85"/>
      <c r="L243" s="85"/>
      <c r="M243" s="85"/>
      <c r="N243" s="85"/>
      <c r="O243" s="85"/>
      <c r="P243" s="85"/>
      <c r="Q243" s="103">
        <v>45378</v>
      </c>
      <c r="R243" s="103"/>
      <c r="S243" s="103"/>
      <c r="T243" s="103">
        <v>45378</v>
      </c>
      <c r="U243" s="103"/>
      <c r="V243" s="103"/>
      <c r="W243" s="78" t="s">
        <v>14</v>
      </c>
      <c r="X243" s="78"/>
      <c r="Y243" s="78"/>
      <c r="Z243" s="78">
        <v>0</v>
      </c>
      <c r="AA243" s="78"/>
      <c r="AB243" s="91"/>
    </row>
    <row r="244" spans="1:28" ht="24" customHeight="1" x14ac:dyDescent="0.25">
      <c r="A244" s="16"/>
      <c r="C244" s="108"/>
      <c r="D244" s="109"/>
      <c r="E244" s="109"/>
      <c r="F244" s="109"/>
      <c r="G244" s="109"/>
      <c r="H244" s="87" t="s">
        <v>358</v>
      </c>
      <c r="I244" s="87"/>
      <c r="J244" s="87"/>
      <c r="K244" s="87"/>
      <c r="L244" s="87"/>
      <c r="M244" s="87"/>
      <c r="N244" s="87"/>
      <c r="O244" s="87"/>
      <c r="P244" s="87"/>
      <c r="Q244" s="102">
        <v>45385</v>
      </c>
      <c r="R244" s="102"/>
      <c r="S244" s="102"/>
      <c r="T244" s="102">
        <v>45385</v>
      </c>
      <c r="U244" s="102"/>
      <c r="V244" s="102"/>
      <c r="W244" s="94" t="s">
        <v>14</v>
      </c>
      <c r="X244" s="94"/>
      <c r="Y244" s="94"/>
      <c r="Z244" s="94">
        <v>0</v>
      </c>
      <c r="AA244" s="94"/>
      <c r="AB244" s="95"/>
    </row>
    <row r="245" spans="1:28" ht="24" customHeight="1" x14ac:dyDescent="0.25">
      <c r="A245" s="16"/>
      <c r="C245" s="108"/>
      <c r="D245" s="109"/>
      <c r="E245" s="109"/>
      <c r="F245" s="109"/>
      <c r="G245" s="109"/>
      <c r="H245" s="85" t="s">
        <v>359</v>
      </c>
      <c r="I245" s="85"/>
      <c r="J245" s="85"/>
      <c r="K245" s="85"/>
      <c r="L245" s="85"/>
      <c r="M245" s="85"/>
      <c r="N245" s="85"/>
      <c r="O245" s="85"/>
      <c r="P245" s="85"/>
      <c r="Q245" s="103">
        <v>45413</v>
      </c>
      <c r="R245" s="103"/>
      <c r="S245" s="103"/>
      <c r="T245" s="103">
        <v>45413</v>
      </c>
      <c r="U245" s="103"/>
      <c r="V245" s="103"/>
      <c r="W245" s="78" t="s">
        <v>14</v>
      </c>
      <c r="X245" s="78"/>
      <c r="Y245" s="78"/>
      <c r="Z245" s="78">
        <v>0</v>
      </c>
      <c r="AA245" s="78"/>
      <c r="AB245" s="91"/>
    </row>
    <row r="246" spans="1:28" ht="24" customHeight="1" x14ac:dyDescent="0.25">
      <c r="A246" s="16"/>
      <c r="C246" s="108"/>
      <c r="D246" s="109"/>
      <c r="E246" s="109"/>
      <c r="F246" s="109"/>
      <c r="G246" s="109"/>
      <c r="H246" s="87" t="s">
        <v>360</v>
      </c>
      <c r="I246" s="87"/>
      <c r="J246" s="87"/>
      <c r="K246" s="87"/>
      <c r="L246" s="87"/>
      <c r="M246" s="87"/>
      <c r="N246" s="87"/>
      <c r="O246" s="87"/>
      <c r="P246" s="87"/>
      <c r="Q246" s="102">
        <v>45420</v>
      </c>
      <c r="R246" s="102"/>
      <c r="S246" s="102"/>
      <c r="T246" s="102">
        <v>45420</v>
      </c>
      <c r="U246" s="102"/>
      <c r="V246" s="102"/>
      <c r="W246" s="94" t="s">
        <v>14</v>
      </c>
      <c r="X246" s="94"/>
      <c r="Y246" s="94"/>
      <c r="Z246" s="94">
        <v>0</v>
      </c>
      <c r="AA246" s="94"/>
      <c r="AB246" s="95"/>
    </row>
    <row r="247" spans="1:28" ht="24" customHeight="1" x14ac:dyDescent="0.25">
      <c r="A247" s="16"/>
      <c r="C247" s="108"/>
      <c r="D247" s="109"/>
      <c r="E247" s="109"/>
      <c r="F247" s="109"/>
      <c r="G247" s="109"/>
      <c r="H247" s="85" t="s">
        <v>361</v>
      </c>
      <c r="I247" s="85"/>
      <c r="J247" s="85"/>
      <c r="K247" s="85"/>
      <c r="L247" s="85"/>
      <c r="M247" s="85"/>
      <c r="N247" s="85"/>
      <c r="O247" s="85"/>
      <c r="P247" s="85"/>
      <c r="Q247" s="103">
        <v>45427</v>
      </c>
      <c r="R247" s="103"/>
      <c r="S247" s="103"/>
      <c r="T247" s="103">
        <v>45427</v>
      </c>
      <c r="U247" s="103"/>
      <c r="V247" s="103"/>
      <c r="W247" s="78" t="s">
        <v>14</v>
      </c>
      <c r="X247" s="78"/>
      <c r="Y247" s="78"/>
      <c r="Z247" s="78">
        <v>0</v>
      </c>
      <c r="AA247" s="78"/>
      <c r="AB247" s="91"/>
    </row>
    <row r="248" spans="1:28" ht="24" customHeight="1" thickBot="1" x14ac:dyDescent="0.3">
      <c r="A248" s="16"/>
      <c r="C248" s="110"/>
      <c r="D248" s="111"/>
      <c r="E248" s="111"/>
      <c r="F248" s="111"/>
      <c r="G248" s="111"/>
      <c r="H248" s="81" t="s">
        <v>364</v>
      </c>
      <c r="I248" s="81"/>
      <c r="J248" s="81"/>
      <c r="K248" s="81"/>
      <c r="L248" s="81"/>
      <c r="M248" s="81"/>
      <c r="N248" s="81"/>
      <c r="O248" s="81"/>
      <c r="P248" s="81"/>
      <c r="Q248" s="84">
        <v>45434</v>
      </c>
      <c r="R248" s="84"/>
      <c r="S248" s="84"/>
      <c r="T248" s="84">
        <v>45434</v>
      </c>
      <c r="U248" s="84"/>
      <c r="V248" s="84"/>
      <c r="W248" s="88" t="s">
        <v>14</v>
      </c>
      <c r="X248" s="88"/>
      <c r="Y248" s="88"/>
      <c r="Z248" s="88">
        <v>0</v>
      </c>
      <c r="AA248" s="88"/>
      <c r="AB248" s="89"/>
    </row>
    <row r="249" spans="1:28" ht="24" customHeight="1" x14ac:dyDescent="0.25">
      <c r="A249" s="16">
        <v>6</v>
      </c>
      <c r="C249" s="106" t="s">
        <v>54</v>
      </c>
      <c r="D249" s="107"/>
      <c r="E249" s="107"/>
      <c r="F249" s="107"/>
      <c r="G249" s="107"/>
      <c r="H249" s="86" t="s">
        <v>25</v>
      </c>
      <c r="I249" s="86"/>
      <c r="J249" s="86"/>
      <c r="K249" s="86"/>
      <c r="L249" s="86"/>
      <c r="M249" s="86"/>
      <c r="N249" s="86"/>
      <c r="O249" s="86"/>
      <c r="P249" s="86"/>
      <c r="Q249" s="101">
        <v>45397</v>
      </c>
      <c r="R249" s="101"/>
      <c r="S249" s="101"/>
      <c r="T249" s="101">
        <v>45397</v>
      </c>
      <c r="U249" s="101"/>
      <c r="V249" s="101"/>
      <c r="W249" s="92" t="s">
        <v>15</v>
      </c>
      <c r="X249" s="92"/>
      <c r="Y249" s="92"/>
      <c r="Z249" s="92">
        <v>100</v>
      </c>
      <c r="AA249" s="92"/>
      <c r="AB249" s="93"/>
    </row>
    <row r="250" spans="1:28" ht="24" customHeight="1" x14ac:dyDescent="0.25">
      <c r="A250" s="16">
        <v>6</v>
      </c>
      <c r="C250" s="108"/>
      <c r="D250" s="109"/>
      <c r="E250" s="109"/>
      <c r="F250" s="109"/>
      <c r="G250" s="109"/>
      <c r="H250" s="87" t="s">
        <v>26</v>
      </c>
      <c r="I250" s="87"/>
      <c r="J250" s="87"/>
      <c r="K250" s="87"/>
      <c r="L250" s="87"/>
      <c r="M250" s="87"/>
      <c r="N250" s="87"/>
      <c r="O250" s="87"/>
      <c r="P250" s="87"/>
      <c r="Q250" s="102">
        <v>45450</v>
      </c>
      <c r="R250" s="102"/>
      <c r="S250" s="102"/>
      <c r="T250" s="102">
        <v>45450</v>
      </c>
      <c r="U250" s="102"/>
      <c r="V250" s="102"/>
      <c r="W250" s="94" t="s">
        <v>15</v>
      </c>
      <c r="X250" s="94"/>
      <c r="Y250" s="94"/>
      <c r="Z250" s="94">
        <v>100</v>
      </c>
      <c r="AA250" s="94"/>
      <c r="AB250" s="95"/>
    </row>
    <row r="251" spans="1:28" ht="24" customHeight="1" x14ac:dyDescent="0.25">
      <c r="A251" s="16">
        <v>6</v>
      </c>
      <c r="C251" s="108"/>
      <c r="D251" s="109"/>
      <c r="E251" s="109"/>
      <c r="F251" s="109"/>
      <c r="G251" s="109"/>
      <c r="H251" s="85" t="s">
        <v>27</v>
      </c>
      <c r="I251" s="85"/>
      <c r="J251" s="85"/>
      <c r="K251" s="85"/>
      <c r="L251" s="85"/>
      <c r="M251" s="85"/>
      <c r="N251" s="85"/>
      <c r="O251" s="85"/>
      <c r="P251" s="85"/>
      <c r="Q251" s="103">
        <v>45472</v>
      </c>
      <c r="R251" s="103"/>
      <c r="S251" s="103"/>
      <c r="T251" s="103">
        <v>45472</v>
      </c>
      <c r="U251" s="103"/>
      <c r="V251" s="103"/>
      <c r="W251" s="78" t="s">
        <v>15</v>
      </c>
      <c r="X251" s="78"/>
      <c r="Y251" s="78"/>
      <c r="Z251" s="78">
        <v>100</v>
      </c>
      <c r="AA251" s="78"/>
      <c r="AB251" s="91"/>
    </row>
    <row r="252" spans="1:28" ht="24" customHeight="1" thickBot="1" x14ac:dyDescent="0.3">
      <c r="A252" s="16">
        <v>6</v>
      </c>
      <c r="C252" s="110"/>
      <c r="D252" s="111"/>
      <c r="E252" s="111"/>
      <c r="F252" s="111"/>
      <c r="G252" s="111"/>
      <c r="H252" s="81" t="s">
        <v>28</v>
      </c>
      <c r="I252" s="81"/>
      <c r="J252" s="81"/>
      <c r="K252" s="81"/>
      <c r="L252" s="81"/>
      <c r="M252" s="81"/>
      <c r="N252" s="81"/>
      <c r="O252" s="81"/>
      <c r="P252" s="81"/>
      <c r="Q252" s="84">
        <v>45494</v>
      </c>
      <c r="R252" s="84"/>
      <c r="S252" s="84"/>
      <c r="T252" s="84">
        <v>45494</v>
      </c>
      <c r="U252" s="84"/>
      <c r="V252" s="84"/>
      <c r="W252" s="88" t="s">
        <v>15</v>
      </c>
      <c r="X252" s="88"/>
      <c r="Y252" s="88"/>
      <c r="Z252" s="88">
        <v>100</v>
      </c>
      <c r="AA252" s="88"/>
      <c r="AB252" s="89"/>
    </row>
    <row r="253" spans="1:28" ht="21" customHeight="1" x14ac:dyDescent="0.25">
      <c r="A253" s="16"/>
      <c r="D253" s="1"/>
      <c r="E253" s="1"/>
    </row>
    <row r="258" spans="1:29" ht="21" customHeight="1" x14ac:dyDescent="0.25">
      <c r="B258" s="45"/>
      <c r="C258" s="82" t="s">
        <v>405</v>
      </c>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row>
    <row r="259" spans="1:29" ht="21" customHeight="1" x14ac:dyDescent="0.25">
      <c r="A259" s="45"/>
      <c r="B259" s="45"/>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row>
    <row r="260" spans="1:29" ht="21" customHeight="1" x14ac:dyDescent="0.25">
      <c r="A260" s="45"/>
      <c r="B260" s="45"/>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row>
    <row r="261" spans="1:29" ht="21" customHeight="1" x14ac:dyDescent="0.25">
      <c r="A261" s="45"/>
      <c r="B261" s="45"/>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row>
    <row r="262" spans="1:29" ht="21" customHeight="1" x14ac:dyDescent="0.25">
      <c r="A262" s="45"/>
      <c r="B262" s="45"/>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row>
    <row r="263" spans="1:29" ht="21" customHeight="1" x14ac:dyDescent="0.25">
      <c r="A263" s="45"/>
      <c r="B263" s="45"/>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row>
    <row r="264" spans="1:29" ht="21" customHeight="1" x14ac:dyDescent="0.25">
      <c r="A264" s="45"/>
      <c r="B264" s="45"/>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row>
    <row r="265" spans="1:29" ht="21" customHeight="1" x14ac:dyDescent="0.25">
      <c r="A265" s="45"/>
      <c r="B265" s="45"/>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row>
    <row r="266" spans="1:29" ht="21" customHeight="1" x14ac:dyDescent="0.25">
      <c r="A266" s="45"/>
      <c r="B266" s="45"/>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row>
    <row r="267" spans="1:29" ht="21" customHeight="1" x14ac:dyDescent="0.25">
      <c r="A267" s="45"/>
      <c r="B267" s="45"/>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row>
    <row r="268" spans="1:29" ht="21" customHeight="1" x14ac:dyDescent="0.25">
      <c r="A268" s="45"/>
      <c r="B268" s="45"/>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row>
    <row r="269" spans="1:29" ht="21" customHeight="1" x14ac:dyDescent="0.25">
      <c r="A269" s="45"/>
      <c r="B269" s="45"/>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row>
    <row r="270" spans="1:29" ht="21" customHeight="1" x14ac:dyDescent="0.25">
      <c r="A270" s="45"/>
      <c r="B270" s="45"/>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row>
    <row r="271" spans="1:29" ht="21" customHeight="1" x14ac:dyDescent="0.25">
      <c r="A271" s="45"/>
      <c r="B271" s="45"/>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row>
    <row r="272" spans="1:29" ht="21" customHeight="1" x14ac:dyDescent="0.25">
      <c r="A272" s="45"/>
      <c r="B272" s="45"/>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row>
    <row r="273" spans="1:29" ht="21" customHeight="1" x14ac:dyDescent="0.25">
      <c r="A273" s="45"/>
      <c r="B273" s="45"/>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row>
    <row r="274" spans="1:29" ht="21" customHeight="1" x14ac:dyDescent="0.25">
      <c r="A274" s="45"/>
      <c r="B274" s="45"/>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row>
    <row r="275" spans="1:29" ht="21" customHeight="1" x14ac:dyDescent="0.25">
      <c r="A275" s="45"/>
      <c r="B275" s="45"/>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row>
    <row r="276" spans="1:29" ht="21" customHeight="1" x14ac:dyDescent="0.25">
      <c r="A276" s="45"/>
      <c r="B276" s="45"/>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row>
    <row r="277" spans="1:29" ht="21" customHeight="1" x14ac:dyDescent="0.25">
      <c r="A277" s="45"/>
      <c r="B277" s="45"/>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row>
    <row r="278" spans="1:29" ht="21" customHeight="1" x14ac:dyDescent="0.25">
      <c r="A278" s="45"/>
      <c r="B278" s="45"/>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row>
    <row r="279" spans="1:29" ht="21" customHeight="1" x14ac:dyDescent="0.25">
      <c r="A279" s="45"/>
      <c r="B279" s="45"/>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row>
    <row r="280" spans="1:29" ht="21" customHeight="1" x14ac:dyDescent="0.25">
      <c r="A280" s="45"/>
      <c r="B280" s="45"/>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row>
    <row r="281" spans="1:29" ht="21" customHeight="1" x14ac:dyDescent="0.25">
      <c r="A281" s="45"/>
      <c r="B281" s="45"/>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row>
    <row r="282" spans="1:29" ht="21" customHeight="1" x14ac:dyDescent="0.25">
      <c r="A282" s="45"/>
      <c r="B282" s="45"/>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row>
    <row r="283" spans="1:29" ht="21" customHeight="1" x14ac:dyDescent="0.25">
      <c r="A283" s="45"/>
      <c r="B283" s="45"/>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row>
    <row r="284" spans="1:29" ht="21" customHeight="1" x14ac:dyDescent="0.25">
      <c r="A284" s="45"/>
      <c r="B284" s="45"/>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row>
    <row r="285" spans="1:29" ht="21" customHeight="1" x14ac:dyDescent="0.25">
      <c r="A285" s="45"/>
      <c r="B285" s="45"/>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row>
    <row r="286" spans="1:29" ht="21" customHeight="1" x14ac:dyDescent="0.25">
      <c r="A286" s="45"/>
      <c r="B286" s="45"/>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row>
    <row r="287" spans="1:29" ht="21" customHeight="1" x14ac:dyDescent="0.25">
      <c r="A287" s="45"/>
      <c r="B287" s="45"/>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row>
    <row r="288" spans="1:29" ht="21" customHeight="1" x14ac:dyDescent="0.25">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row>
    <row r="289" spans="3:29" ht="21" customHeight="1" x14ac:dyDescent="0.25">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row>
    <row r="295" spans="3:29" ht="21" customHeight="1" thickBot="1" x14ac:dyDescent="0.3"/>
    <row r="296" spans="3:29" ht="21" customHeight="1" x14ac:dyDescent="0.25">
      <c r="C296" s="56" t="s">
        <v>397</v>
      </c>
      <c r="D296" s="53"/>
      <c r="E296" s="53"/>
      <c r="F296" s="53"/>
      <c r="G296" s="53"/>
      <c r="H296" s="53"/>
      <c r="I296" s="53"/>
      <c r="J296" s="53"/>
      <c r="K296" s="53" t="s">
        <v>398</v>
      </c>
      <c r="L296" s="53"/>
      <c r="M296" s="53"/>
      <c r="N296" s="53"/>
      <c r="O296" s="53" t="s">
        <v>399</v>
      </c>
      <c r="P296" s="53"/>
      <c r="Q296" s="53"/>
      <c r="R296" s="53"/>
      <c r="S296" s="53"/>
      <c r="T296" s="53"/>
      <c r="U296" s="53"/>
      <c r="V296" s="53" t="s">
        <v>400</v>
      </c>
      <c r="W296" s="53"/>
      <c r="X296" s="53"/>
      <c r="Y296" s="53"/>
      <c r="Z296" s="53"/>
      <c r="AA296" s="54"/>
      <c r="AB296" s="54"/>
      <c r="AC296" s="55"/>
    </row>
    <row r="297" spans="3:29" ht="21" customHeight="1" x14ac:dyDescent="0.25">
      <c r="C297" s="46" t="s">
        <v>401</v>
      </c>
      <c r="AC297" s="47"/>
    </row>
    <row r="298" spans="3:29" ht="21" customHeight="1" x14ac:dyDescent="0.25">
      <c r="C298" s="46" t="s">
        <v>402</v>
      </c>
      <c r="V298" s="79">
        <v>0.15</v>
      </c>
      <c r="W298" s="79"/>
      <c r="AC298" s="47"/>
    </row>
    <row r="299" spans="3:29" ht="21" customHeight="1" x14ac:dyDescent="0.25">
      <c r="C299" s="46"/>
      <c r="AC299" s="47"/>
    </row>
    <row r="300" spans="3:29" ht="21" customHeight="1" x14ac:dyDescent="0.25">
      <c r="C300" s="46" t="s">
        <v>434</v>
      </c>
      <c r="AC300" s="47"/>
    </row>
    <row r="301" spans="3:29" ht="21" customHeight="1" x14ac:dyDescent="0.25">
      <c r="C301" s="46"/>
      <c r="K301" s="79">
        <v>0.15</v>
      </c>
      <c r="L301" s="79"/>
      <c r="O301" t="s">
        <v>399</v>
      </c>
      <c r="V301" s="79">
        <v>0.6</v>
      </c>
      <c r="W301" s="79"/>
      <c r="AC301" s="47"/>
    </row>
    <row r="302" spans="3:29" ht="21" customHeight="1" x14ac:dyDescent="0.25">
      <c r="C302" s="46" t="s">
        <v>403</v>
      </c>
      <c r="K302" s="79">
        <v>0.1</v>
      </c>
      <c r="L302" s="79"/>
      <c r="AC302" s="47"/>
    </row>
    <row r="303" spans="3:29" ht="21" customHeight="1" thickBot="1" x14ac:dyDescent="0.3">
      <c r="C303" s="52" t="s">
        <v>404</v>
      </c>
      <c r="D303" s="50"/>
      <c r="E303" s="50"/>
      <c r="F303" s="50"/>
      <c r="G303" s="50"/>
      <c r="H303" s="50"/>
      <c r="I303" s="50"/>
      <c r="J303" s="50"/>
      <c r="K303" s="80">
        <v>0.4</v>
      </c>
      <c r="L303" s="80"/>
      <c r="M303" s="50"/>
      <c r="N303" s="50"/>
      <c r="O303" s="50" t="s">
        <v>404</v>
      </c>
      <c r="P303" s="50"/>
      <c r="Q303" s="50"/>
      <c r="R303" s="50"/>
      <c r="S303" s="50"/>
      <c r="T303" s="50"/>
      <c r="U303" s="50"/>
      <c r="V303" s="80">
        <v>0.6</v>
      </c>
      <c r="W303" s="80"/>
      <c r="X303" s="50"/>
      <c r="Y303" s="50"/>
      <c r="Z303" s="50"/>
      <c r="AA303" s="50"/>
      <c r="AB303" s="50"/>
      <c r="AC303" s="51"/>
    </row>
    <row r="305" spans="1:29" ht="21" customHeight="1" x14ac:dyDescent="0.25">
      <c r="C305" s="83" t="s">
        <v>431</v>
      </c>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row>
    <row r="306" spans="1:29" ht="21" customHeight="1" x14ac:dyDescent="0.25">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row>
    <row r="307" spans="1:29" ht="21" customHeight="1" x14ac:dyDescent="0.25">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row>
    <row r="308" spans="1:29" ht="21" customHeight="1" x14ac:dyDescent="0.25">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row>
    <row r="311" spans="1:29" ht="21" customHeight="1" x14ac:dyDescent="0.25">
      <c r="C311" s="78" t="s">
        <v>432</v>
      </c>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row>
    <row r="312" spans="1:29" ht="21" customHeight="1" x14ac:dyDescent="0.25">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row>
    <row r="313" spans="1:29" ht="21" customHeight="1" x14ac:dyDescent="0.25">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row>
    <row r="314" spans="1:29" ht="21" customHeight="1" thickBot="1" x14ac:dyDescent="0.3"/>
    <row r="315" spans="1:29" ht="21" customHeight="1" x14ac:dyDescent="0.25">
      <c r="A315" s="41"/>
      <c r="B315" s="41"/>
      <c r="C315" s="57" t="s">
        <v>413</v>
      </c>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5"/>
    </row>
    <row r="316" spans="1:29" ht="21" customHeight="1" x14ac:dyDescent="0.25">
      <c r="C316" s="46" t="s">
        <v>414</v>
      </c>
      <c r="H316" t="s">
        <v>415</v>
      </c>
      <c r="M316" t="s">
        <v>416</v>
      </c>
      <c r="R316" t="s">
        <v>417</v>
      </c>
      <c r="AC316" s="47"/>
    </row>
    <row r="317" spans="1:29" ht="21" customHeight="1" x14ac:dyDescent="0.25">
      <c r="C317" s="46" t="s">
        <v>418</v>
      </c>
      <c r="H317" t="s">
        <v>419</v>
      </c>
      <c r="M317" t="s">
        <v>420</v>
      </c>
      <c r="R317" t="s">
        <v>421</v>
      </c>
      <c r="AC317" s="47"/>
    </row>
    <row r="318" spans="1:29" ht="21" customHeight="1" x14ac:dyDescent="0.25">
      <c r="C318" s="46"/>
      <c r="H318" t="s">
        <v>422</v>
      </c>
      <c r="M318" t="s">
        <v>423</v>
      </c>
      <c r="R318" t="s">
        <v>424</v>
      </c>
      <c r="AC318" s="47"/>
    </row>
    <row r="319" spans="1:29" ht="21" customHeight="1" x14ac:dyDescent="0.25">
      <c r="C319" s="46"/>
      <c r="H319" t="s">
        <v>425</v>
      </c>
      <c r="M319" t="s">
        <v>426</v>
      </c>
      <c r="R319" t="s">
        <v>427</v>
      </c>
      <c r="AC319" s="47"/>
    </row>
    <row r="320" spans="1:29" ht="21" customHeight="1" x14ac:dyDescent="0.25">
      <c r="C320" s="46"/>
      <c r="H320" t="s">
        <v>428</v>
      </c>
      <c r="M320" t="s">
        <v>429</v>
      </c>
      <c r="R320" t="s">
        <v>430</v>
      </c>
      <c r="AC320" s="47"/>
    </row>
    <row r="321" spans="3:29" ht="21" customHeight="1" thickBot="1" x14ac:dyDescent="0.3">
      <c r="C321" s="48"/>
      <c r="D321" s="49"/>
      <c r="E321" s="49"/>
      <c r="F321" s="49"/>
      <c r="G321" s="50"/>
      <c r="H321" s="50"/>
      <c r="I321" s="50"/>
      <c r="J321" s="50"/>
      <c r="K321" s="50"/>
      <c r="L321" s="50"/>
      <c r="M321" s="50"/>
      <c r="N321" s="50"/>
      <c r="O321" s="50"/>
      <c r="P321" s="50"/>
      <c r="Q321" s="50"/>
      <c r="R321" s="50"/>
      <c r="S321" s="50"/>
      <c r="T321" s="50"/>
      <c r="U321" s="50"/>
      <c r="V321" s="50"/>
      <c r="W321" s="50"/>
      <c r="X321" s="50"/>
      <c r="Y321" s="50"/>
      <c r="Z321" s="50"/>
      <c r="AA321" s="50"/>
      <c r="AB321" s="50"/>
      <c r="AC321" s="51"/>
    </row>
    <row r="323" spans="3:29" ht="21" customHeight="1" x14ac:dyDescent="0.25">
      <c r="C323" s="78" t="s">
        <v>433</v>
      </c>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row>
    <row r="324" spans="3:29" ht="21" customHeight="1" x14ac:dyDescent="0.25">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row>
    <row r="325" spans="3:29" ht="21" customHeight="1" x14ac:dyDescent="0.25">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row>
    <row r="326" spans="3:29" ht="21" customHeight="1" x14ac:dyDescent="0.25">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row>
    <row r="332" spans="3:29" ht="21" customHeight="1" x14ac:dyDescent="0.25">
      <c r="C332" s="78" t="s">
        <v>439</v>
      </c>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row>
    <row r="333" spans="3:29" ht="21" customHeight="1" x14ac:dyDescent="0.25">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row>
    <row r="334" spans="3:29" ht="21" customHeight="1" x14ac:dyDescent="0.25">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row>
    <row r="335" spans="3:29" ht="21" customHeight="1" x14ac:dyDescent="0.25">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row>
    <row r="336" spans="3:29" ht="21" customHeight="1" x14ac:dyDescent="0.25">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row>
    <row r="337" spans="3:29" ht="21" customHeight="1" x14ac:dyDescent="0.25">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row>
    <row r="338" spans="3:29" ht="21" customHeight="1" x14ac:dyDescent="0.25">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row>
    <row r="339" spans="3:29" ht="21" customHeight="1" x14ac:dyDescent="0.25">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row>
    <row r="340" spans="3:29" ht="21" customHeight="1" x14ac:dyDescent="0.25">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row>
    <row r="341" spans="3:29" ht="21" customHeight="1" x14ac:dyDescent="0.25">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row>
    <row r="342" spans="3:29" ht="21" customHeight="1" x14ac:dyDescent="0.25">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row>
    <row r="343" spans="3:29" ht="21" customHeight="1" x14ac:dyDescent="0.25">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row>
    <row r="344" spans="3:29" ht="21" customHeight="1" x14ac:dyDescent="0.25">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row>
    <row r="345" spans="3:29" ht="21" customHeight="1" x14ac:dyDescent="0.25">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row>
    <row r="346" spans="3:29" ht="21" customHeight="1" x14ac:dyDescent="0.25">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row>
    <row r="347" spans="3:29" ht="21" customHeight="1" x14ac:dyDescent="0.25">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row>
    <row r="348" spans="3:29" ht="21" customHeight="1" x14ac:dyDescent="0.25">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row>
    <row r="349" spans="3:29" ht="21" customHeight="1" x14ac:dyDescent="0.25">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row>
    <row r="350" spans="3:29" ht="21" customHeight="1" x14ac:dyDescent="0.25">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row>
    <row r="351" spans="3:29" ht="21" customHeight="1" x14ac:dyDescent="0.25">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row>
    <row r="352" spans="3:29" ht="21" customHeight="1" x14ac:dyDescent="0.25">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row>
    <row r="353" spans="3:29" ht="21" customHeight="1" x14ac:dyDescent="0.25">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row>
    <row r="354" spans="3:29" ht="21" customHeight="1" x14ac:dyDescent="0.25">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row>
    <row r="355" spans="3:29" ht="21" customHeight="1" x14ac:dyDescent="0.25">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row>
    <row r="356" spans="3:29" ht="21" customHeight="1" x14ac:dyDescent="0.25">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row>
    <row r="357" spans="3:29" ht="21" customHeight="1" x14ac:dyDescent="0.25">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row>
    <row r="358" spans="3:29" ht="21" customHeight="1" x14ac:dyDescent="0.25">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row>
    <row r="359" spans="3:29" ht="21" customHeight="1" x14ac:dyDescent="0.25">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row>
    <row r="360" spans="3:29" ht="21" customHeight="1" x14ac:dyDescent="0.25">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row>
    <row r="361" spans="3:29" ht="21" customHeight="1" x14ac:dyDescent="0.25">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row>
    <row r="362" spans="3:29" ht="21" customHeight="1" x14ac:dyDescent="0.25">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row>
    <row r="363" spans="3:29" ht="21" customHeight="1" x14ac:dyDescent="0.25">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row>
    <row r="364" spans="3:29" ht="21" customHeight="1" x14ac:dyDescent="0.25">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row>
    <row r="369" spans="3:3" ht="21" customHeight="1" x14ac:dyDescent="0.25">
      <c r="C369" s="35" t="s">
        <v>406</v>
      </c>
    </row>
    <row r="371" spans="3:3" ht="21" customHeight="1" x14ac:dyDescent="0.25">
      <c r="C371" t="s">
        <v>435</v>
      </c>
    </row>
    <row r="372" spans="3:3" ht="21" customHeight="1" x14ac:dyDescent="0.25">
      <c r="C372" t="s">
        <v>409</v>
      </c>
    </row>
    <row r="373" spans="3:3" ht="21" customHeight="1" x14ac:dyDescent="0.25">
      <c r="C373" t="s">
        <v>411</v>
      </c>
    </row>
    <row r="374" spans="3:3" ht="21" customHeight="1" x14ac:dyDescent="0.25">
      <c r="C374" t="s">
        <v>412</v>
      </c>
    </row>
    <row r="375" spans="3:3" ht="21" customHeight="1" x14ac:dyDescent="0.25">
      <c r="C375" t="s">
        <v>410</v>
      </c>
    </row>
  </sheetData>
  <mergeCells count="149">
    <mergeCell ref="C235:G237"/>
    <mergeCell ref="C238:G240"/>
    <mergeCell ref="C241:G248"/>
    <mergeCell ref="C249:G252"/>
    <mergeCell ref="D41:AB41"/>
    <mergeCell ref="C90:AC110"/>
    <mergeCell ref="C118:AC121"/>
    <mergeCell ref="C125:AC143"/>
    <mergeCell ref="C153:AC182"/>
    <mergeCell ref="B191:AC220"/>
    <mergeCell ref="C229:G231"/>
    <mergeCell ref="C232:G234"/>
    <mergeCell ref="H229:P229"/>
    <mergeCell ref="H230:P230"/>
    <mergeCell ref="H231:P231"/>
    <mergeCell ref="H232:P232"/>
    <mergeCell ref="H233:P233"/>
    <mergeCell ref="H234:P234"/>
    <mergeCell ref="H235:P235"/>
    <mergeCell ref="H236:P236"/>
    <mergeCell ref="H237:P237"/>
    <mergeCell ref="H238:P238"/>
    <mergeCell ref="H239:P239"/>
    <mergeCell ref="H240:P240"/>
    <mergeCell ref="W246:Y246"/>
    <mergeCell ref="W247:Y247"/>
    <mergeCell ref="W248:Y248"/>
    <mergeCell ref="W249:Y249"/>
    <mergeCell ref="W250:Y250"/>
    <mergeCell ref="W241:Y241"/>
    <mergeCell ref="W242:Y242"/>
    <mergeCell ref="W243:Y243"/>
    <mergeCell ref="W244:Y244"/>
    <mergeCell ref="W245:Y245"/>
    <mergeCell ref="Q251:S251"/>
    <mergeCell ref="Q242:S242"/>
    <mergeCell ref="Q243:S243"/>
    <mergeCell ref="Q244:S244"/>
    <mergeCell ref="Q245:S245"/>
    <mergeCell ref="Q246:S246"/>
    <mergeCell ref="Q228:S228"/>
    <mergeCell ref="Q229:S229"/>
    <mergeCell ref="Q230:S230"/>
    <mergeCell ref="Q231:S231"/>
    <mergeCell ref="Q232:S232"/>
    <mergeCell ref="Q233:S233"/>
    <mergeCell ref="Q234:S234"/>
    <mergeCell ref="Q235:S235"/>
    <mergeCell ref="Q236:S236"/>
    <mergeCell ref="Q237:S237"/>
    <mergeCell ref="Q238:S238"/>
    <mergeCell ref="Q239:S239"/>
    <mergeCell ref="Q240:S240"/>
    <mergeCell ref="Q241:S241"/>
    <mergeCell ref="T238:V238"/>
    <mergeCell ref="T239:V239"/>
    <mergeCell ref="T240:V240"/>
    <mergeCell ref="T241:V241"/>
    <mergeCell ref="T242:V242"/>
    <mergeCell ref="Q247:S247"/>
    <mergeCell ref="Q248:S248"/>
    <mergeCell ref="Q249:S249"/>
    <mergeCell ref="Q250:S250"/>
    <mergeCell ref="W234:Y234"/>
    <mergeCell ref="W235:Y235"/>
    <mergeCell ref="W228:Y228"/>
    <mergeCell ref="W229:Y229"/>
    <mergeCell ref="W230:Y230"/>
    <mergeCell ref="T248:V248"/>
    <mergeCell ref="T249:V249"/>
    <mergeCell ref="T250:V250"/>
    <mergeCell ref="T251:V251"/>
    <mergeCell ref="T243:V243"/>
    <mergeCell ref="T244:V244"/>
    <mergeCell ref="T245:V245"/>
    <mergeCell ref="T246:V246"/>
    <mergeCell ref="T247:V247"/>
    <mergeCell ref="T228:V228"/>
    <mergeCell ref="T229:V229"/>
    <mergeCell ref="T230:V230"/>
    <mergeCell ref="T231:V231"/>
    <mergeCell ref="T232:V232"/>
    <mergeCell ref="T233:V233"/>
    <mergeCell ref="T234:V234"/>
    <mergeCell ref="T235:V235"/>
    <mergeCell ref="T236:V236"/>
    <mergeCell ref="T237:V237"/>
    <mergeCell ref="W251:Y251"/>
    <mergeCell ref="W252:Y252"/>
    <mergeCell ref="Z228:AB228"/>
    <mergeCell ref="Z229:AB229"/>
    <mergeCell ref="Z230:AB230"/>
    <mergeCell ref="Z231:AB231"/>
    <mergeCell ref="Z232:AB232"/>
    <mergeCell ref="Z233:AB233"/>
    <mergeCell ref="Z234:AB234"/>
    <mergeCell ref="Z235:AB235"/>
    <mergeCell ref="Z236:AB236"/>
    <mergeCell ref="Z237:AB237"/>
    <mergeCell ref="Z238:AB238"/>
    <mergeCell ref="Z239:AB239"/>
    <mergeCell ref="Z240:AB240"/>
    <mergeCell ref="Z241:AB241"/>
    <mergeCell ref="W236:Y236"/>
    <mergeCell ref="W237:Y237"/>
    <mergeCell ref="W238:Y238"/>
    <mergeCell ref="W239:Y239"/>
    <mergeCell ref="W240:Y240"/>
    <mergeCell ref="W231:Y231"/>
    <mergeCell ref="W232:Y232"/>
    <mergeCell ref="W233:Y233"/>
    <mergeCell ref="H247:P247"/>
    <mergeCell ref="H248:P248"/>
    <mergeCell ref="H249:P249"/>
    <mergeCell ref="H250:P250"/>
    <mergeCell ref="H251:P251"/>
    <mergeCell ref="Z252:AB252"/>
    <mergeCell ref="H228:P228"/>
    <mergeCell ref="C228:G228"/>
    <mergeCell ref="H241:P241"/>
    <mergeCell ref="H242:P242"/>
    <mergeCell ref="H243:P243"/>
    <mergeCell ref="H244:P244"/>
    <mergeCell ref="H245:P245"/>
    <mergeCell ref="H246:P246"/>
    <mergeCell ref="Z247:AB247"/>
    <mergeCell ref="Z248:AB248"/>
    <mergeCell ref="Z249:AB249"/>
    <mergeCell ref="Z250:AB250"/>
    <mergeCell ref="Z251:AB251"/>
    <mergeCell ref="Z242:AB242"/>
    <mergeCell ref="Z243:AB243"/>
    <mergeCell ref="Z244:AB244"/>
    <mergeCell ref="Z245:AB245"/>
    <mergeCell ref="Z246:AB246"/>
    <mergeCell ref="C323:AC326"/>
    <mergeCell ref="C332:AC364"/>
    <mergeCell ref="K301:L301"/>
    <mergeCell ref="K302:L302"/>
    <mergeCell ref="K303:L303"/>
    <mergeCell ref="V301:W301"/>
    <mergeCell ref="V303:W303"/>
    <mergeCell ref="H252:P252"/>
    <mergeCell ref="C258:AC289"/>
    <mergeCell ref="C305:AC308"/>
    <mergeCell ref="C311:AC313"/>
    <mergeCell ref="V298:W298"/>
    <mergeCell ref="T252:V252"/>
    <mergeCell ref="Q252:S252"/>
  </mergeCells>
  <dataValidations disablePrompts="1" count="1">
    <dataValidation type="list" allowBlank="1" showInputMessage="1" showErrorMessage="1" sqref="A43" xr:uid="{84DCD60D-1751-4CDA-B567-C80D21215162}">
      <formula1>"1,2,3,4,5"</formula1>
    </dataValidation>
  </dataValidations>
  <pageMargins left="0.7" right="0.7" top="0.75" bottom="1.3490384615384616" header="0.3" footer="0.92884615384615388"/>
  <pageSetup paperSize="9" scale="92" orientation="portrait" r:id="rId1"/>
  <headerFooter scaleWithDoc="0" alignWithMargins="0">
    <oddHeader xml:space="preserve">&amp;L      &amp;G
</oddHeader>
    <oddFooter>&amp;L
&amp;C                                   &amp;"-,Negrita"&amp;14&amp;P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2030-2465-4504-BABB-CD5AA244F270}">
  <sheetPr codeName="Hoja3" filterMode="1">
    <tabColor rgb="FFFF66CC"/>
  </sheetPr>
  <dimension ref="A3:F36"/>
  <sheetViews>
    <sheetView view="pageLayout" zoomScale="85" zoomScaleNormal="100" zoomScalePageLayoutView="85" workbookViewId="0">
      <selection activeCell="C15" sqref="C15:F15"/>
    </sheetView>
  </sheetViews>
  <sheetFormatPr baseColWidth="10" defaultColWidth="11.5703125" defaultRowHeight="15" x14ac:dyDescent="0.25"/>
  <cols>
    <col min="1" max="1" width="1.42578125" customWidth="1"/>
    <col min="2" max="2" width="5.7109375" customWidth="1"/>
    <col min="3" max="3" width="49" customWidth="1"/>
    <col min="4" max="5" width="11.28515625" customWidth="1"/>
    <col min="6" max="6" width="10.85546875" customWidth="1"/>
  </cols>
  <sheetData>
    <row r="3" spans="1:6" ht="21.75" customHeight="1" x14ac:dyDescent="0.25">
      <c r="B3" s="75" t="s">
        <v>327</v>
      </c>
      <c r="C3" s="75"/>
      <c r="D3" s="75"/>
      <c r="E3" s="75"/>
      <c r="F3" s="75"/>
    </row>
    <row r="4" spans="1:6" ht="18.75" x14ac:dyDescent="0.25">
      <c r="A4" s="16">
        <v>1</v>
      </c>
      <c r="B4" s="117" t="str">
        <f>+_xlfn.CONCAT("Unidad ",A4,": ",_xlfn.XLOOKUP(_xlfn.CONCAT("Unidad ",A4),Tabla5[Unidad],Tabla5[Nombre de la unidad],"",0,1))</f>
        <v>Unidad 1: Manejo de datos en Big Data – Introducciones conceptuales</v>
      </c>
      <c r="C4" s="117"/>
      <c r="D4" s="117"/>
      <c r="E4" s="117"/>
      <c r="F4" s="117"/>
    </row>
    <row r="5" spans="1:6" ht="15" customHeight="1" x14ac:dyDescent="0.25">
      <c r="B5" s="77" t="s">
        <v>43</v>
      </c>
      <c r="C5" s="77"/>
      <c r="D5" s="77"/>
      <c r="E5" s="77"/>
      <c r="F5" s="77"/>
    </row>
    <row r="6" spans="1:6" ht="15.75" customHeight="1" x14ac:dyDescent="0.25">
      <c r="B6" s="78" t="str">
        <f>+_xlfn.XLOOKUP(_xlfn.CONCAT("Unidad ",$A$4),referencias!B2:B13,referencias!C2:C13,"",0,1)</f>
        <v>En esta unidad vamos a abordar una introducción a los conceptos fundamentales que determinan el trabajo estadpistico con BigData y al manejo de este tipo de datos usando un software de licencia gratuita como R-project. Abordaremos situaciones como la instalación y configuraciones iniciales del programa, además de los comandos, operadores y funciones básicas</v>
      </c>
      <c r="C6" s="78"/>
      <c r="D6" s="78"/>
      <c r="E6" s="78"/>
      <c r="F6" s="78"/>
    </row>
    <row r="7" spans="1:6" ht="15" customHeight="1" x14ac:dyDescent="0.25">
      <c r="B7" s="78"/>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t="s">
        <v>39</v>
      </c>
    </row>
    <row r="11" spans="1:6" ht="12.75" customHeight="1" thickBot="1" x14ac:dyDescent="0.3"/>
    <row r="12" spans="1:6" ht="18" thickBot="1" x14ac:dyDescent="0.3">
      <c r="B12" s="7" t="s">
        <v>10</v>
      </c>
      <c r="C12" s="9" t="s">
        <v>22</v>
      </c>
      <c r="D12" s="9"/>
      <c r="E12" s="9"/>
      <c r="F12" s="9"/>
    </row>
    <row r="13" spans="1:6" ht="28.5" customHeight="1" thickBot="1" x14ac:dyDescent="0.3">
      <c r="B13" s="8">
        <v>1</v>
      </c>
      <c r="C13" s="118" t="str" cm="1">
        <f t="array" ref="C13">+_xlfn.XLOOKUP(_xlfn.CONCAT("Unidad ",$A$4,"-",B13),Tabla5[ref3],referencias!$G$2:$G$13,"",0,1)</f>
        <v>Identificar al menos uno de los programas informáticos que permiten encarar el análisis estadístico del Big Data</v>
      </c>
      <c r="D13" s="118"/>
      <c r="E13" s="118"/>
      <c r="F13" s="118"/>
    </row>
    <row r="14" spans="1:6" ht="28.5" customHeight="1" thickBot="1" x14ac:dyDescent="0.3">
      <c r="B14" s="8">
        <v>2</v>
      </c>
      <c r="C14" s="119" t="str" cm="1">
        <f t="array" ref="C14">+_xlfn.XLOOKUP(_xlfn.CONCAT("Unidad ",$A$4,"-",B14),Tabla5[ref3],referencias!$G$2:$G$13,"",0,1)</f>
        <v>Identificar los pasos y las herramientas para realizar la recopilación y gestión de datos con las características particulares del Big Data</v>
      </c>
      <c r="D14" s="119"/>
      <c r="E14" s="119"/>
      <c r="F14" s="119"/>
    </row>
    <row r="15" spans="1:6" ht="28.5" customHeight="1" thickBot="1" x14ac:dyDescent="0.3">
      <c r="B15" s="8">
        <v>3</v>
      </c>
      <c r="C15" s="119" t="str" cm="1">
        <f t="array" ref="C15">+_xlfn.XLOOKUP(_xlfn.CONCAT("Unidad ",$A$4,"-",B15),Tabla5[ref3],referencias!$G$2:$G$13,"",0,1)</f>
        <v>Implementar códigos de programación para ejecutar rutinas relacionadas al tema de la unidad</v>
      </c>
      <c r="D15" s="119"/>
      <c r="E15" s="119"/>
      <c r="F15" s="119"/>
    </row>
    <row r="17" spans="2:6" ht="15.75" x14ac:dyDescent="0.25">
      <c r="B17" s="115" t="s">
        <v>31</v>
      </c>
      <c r="C17" s="115"/>
    </row>
    <row r="18" spans="2:6" ht="15.75" thickBot="1" x14ac:dyDescent="0.3"/>
    <row r="19" spans="2:6" ht="18" thickBot="1" x14ac:dyDescent="0.3">
      <c r="B19" s="7" t="s">
        <v>10</v>
      </c>
      <c r="C19" s="9" t="s">
        <v>32</v>
      </c>
      <c r="D19" s="9" t="s">
        <v>33</v>
      </c>
      <c r="E19" s="9" t="s">
        <v>34</v>
      </c>
      <c r="F19" s="9" t="s">
        <v>38</v>
      </c>
    </row>
    <row r="20" spans="2:6" ht="18" thickBot="1" x14ac:dyDescent="0.3">
      <c r="B20" s="8">
        <v>1</v>
      </c>
      <c r="C20" s="11" t="s">
        <v>40</v>
      </c>
      <c r="D20" s="12" t="e">
        <f>+_xlfn.XLOOKUP(_xlfn.CONCAT("Unidad ",$A$4,"-",B20),cronograma!#REF!,cronograma!$J$19:$J$34,"-",0,1)</f>
        <v>#REF!</v>
      </c>
      <c r="E20" s="12" t="e">
        <f>+_xlfn.XLOOKUP(_xlfn.CONCAT("Unidad ",$A$4,"-",B20),cronograma!#REF!,cronograma!$K$19:$K$34,"-",0,1)</f>
        <v>#REF!</v>
      </c>
      <c r="F20" s="13">
        <v>0</v>
      </c>
    </row>
    <row r="21" spans="2:6" ht="18" thickBot="1" x14ac:dyDescent="0.3">
      <c r="B21" s="8">
        <v>2</v>
      </c>
      <c r="C21" s="11" t="s">
        <v>41</v>
      </c>
      <c r="D21" s="12" t="e">
        <f>+_xlfn.XLOOKUP(_xlfn.CONCAT("Unidad ",$A$4,"-",B21),cronograma!#REF!,cronograma!$J$19:$J$34,"-",0,1)</f>
        <v>#REF!</v>
      </c>
      <c r="E21" s="12" t="e">
        <f>+_xlfn.XLOOKUP(_xlfn.CONCAT("Unidad ",$A$4,"-",B21),cronograma!#REF!,cronograma!$K$19:$K$34,"-",0,1)</f>
        <v>#REF!</v>
      </c>
      <c r="F21" s="13">
        <v>100</v>
      </c>
    </row>
    <row r="22" spans="2:6" ht="18" thickBot="1" x14ac:dyDescent="0.3">
      <c r="B22" s="8">
        <v>3</v>
      </c>
      <c r="C22" s="11" t="s">
        <v>42</v>
      </c>
      <c r="D22" s="12" t="e">
        <f>+_xlfn.XLOOKUP(_xlfn.CONCAT("Unidad ",$A$4,"-",B22),cronograma!#REF!,cronograma!$J$19:$J$34,"-",0,1)</f>
        <v>#REF!</v>
      </c>
      <c r="E22" s="12" t="e">
        <f>+_xlfn.XLOOKUP(_xlfn.CONCAT("Unidad ",$A$4,"-",B22),cronograma!#REF!,cronograma!$K$19:$K$34,"-",0,1)</f>
        <v>#REF!</v>
      </c>
      <c r="F22" s="13">
        <v>100</v>
      </c>
    </row>
    <row r="23" spans="2:6" ht="18" hidden="1" thickBot="1" x14ac:dyDescent="0.3">
      <c r="B23" s="8">
        <v>6</v>
      </c>
      <c r="C23" s="11" t="e">
        <f>+IF(D23="-","","Clase sincrónica de la unidad (2da)  (AF)")</f>
        <v>#REF!</v>
      </c>
      <c r="D23" s="12" t="e">
        <f>+_xlfn.XLOOKUP(_xlfn.CONCAT("Unidad ",$A$4,"-",B23),cronograma!#REF!,cronograma!$J$19:$J$34,"-",0,1)</f>
        <v>#REF!</v>
      </c>
      <c r="E23" s="12" t="e">
        <f>+_xlfn.XLOOKUP(_xlfn.CONCAT("Unidad ",$A$4,"-",B23),cronograma!#REF!,cronograma!$K$19:$K$34,"-",0,1)</f>
        <v>#REF!</v>
      </c>
      <c r="F23" s="13">
        <v>0</v>
      </c>
    </row>
    <row r="24" spans="2:6" ht="18" hidden="1" thickBot="1" x14ac:dyDescent="0.3">
      <c r="B24" s="10">
        <v>7</v>
      </c>
      <c r="C24" s="11" t="e">
        <f>+IF(D24="-","","Clase sincrónica de la unidad (3ra)  (AF)")</f>
        <v>#REF!</v>
      </c>
      <c r="D24" s="12" t="e">
        <f>+_xlfn.XLOOKUP(_xlfn.CONCAT("Unidad ",$A$4,"-",B24),cronograma!#REF!,cronograma!$J$19:$J$34,"-",0,1)</f>
        <v>#REF!</v>
      </c>
      <c r="E24" s="12" t="e">
        <f>+_xlfn.XLOOKUP(_xlfn.CONCAT("Unidad ",$A$4,"-",B24),cronograma!#REF!,cronograma!$K$19:$K$34,"-",0,1)</f>
        <v>#REF!</v>
      </c>
      <c r="F24" s="14"/>
    </row>
    <row r="26" spans="2:6" ht="15" customHeight="1" x14ac:dyDescent="0.25">
      <c r="B26" s="116" t="s">
        <v>50</v>
      </c>
      <c r="C26" s="116"/>
      <c r="D26" s="116"/>
      <c r="E26" s="116"/>
      <c r="F26" s="116"/>
    </row>
    <row r="27" spans="2:6" x14ac:dyDescent="0.25">
      <c r="B27" s="116"/>
      <c r="C27" s="116"/>
      <c r="D27" s="116"/>
      <c r="E27" s="116"/>
      <c r="F27" s="116"/>
    </row>
    <row r="28" spans="2:6" x14ac:dyDescent="0.25">
      <c r="B28" s="116"/>
      <c r="C28" s="116"/>
      <c r="D28" s="116"/>
      <c r="E28" s="116"/>
      <c r="F28" s="116"/>
    </row>
    <row r="29" spans="2:6" x14ac:dyDescent="0.25">
      <c r="B29" s="116"/>
      <c r="C29" s="116"/>
      <c r="D29" s="116"/>
      <c r="E29" s="116"/>
      <c r="F29" s="116"/>
    </row>
    <row r="30" spans="2:6" x14ac:dyDescent="0.25">
      <c r="B30" s="116"/>
      <c r="C30" s="116"/>
      <c r="D30" s="116"/>
      <c r="E30" s="116"/>
      <c r="F30" s="116"/>
    </row>
    <row r="31" spans="2:6" x14ac:dyDescent="0.25">
      <c r="B31" s="116"/>
      <c r="C31" s="116"/>
      <c r="D31" s="116"/>
      <c r="E31" s="116"/>
      <c r="F31" s="116"/>
    </row>
    <row r="32" spans="2:6" x14ac:dyDescent="0.25">
      <c r="B32" s="116"/>
      <c r="C32" s="116"/>
      <c r="D32" s="116"/>
      <c r="E32" s="116"/>
      <c r="F32" s="116"/>
    </row>
    <row r="33" spans="2:6" x14ac:dyDescent="0.25">
      <c r="B33" s="116"/>
      <c r="C33" s="116"/>
      <c r="D33" s="116"/>
      <c r="E33" s="116"/>
      <c r="F33" s="116"/>
    </row>
    <row r="34" spans="2:6" x14ac:dyDescent="0.25">
      <c r="B34" s="116"/>
      <c r="C34" s="116"/>
      <c r="D34" s="116"/>
      <c r="E34" s="116"/>
      <c r="F34" s="116"/>
    </row>
    <row r="35" spans="2:6" x14ac:dyDescent="0.25">
      <c r="B35" s="116"/>
      <c r="C35" s="116"/>
      <c r="D35" s="116"/>
      <c r="E35" s="116"/>
      <c r="F35" s="116"/>
    </row>
    <row r="36" spans="2:6" x14ac:dyDescent="0.25">
      <c r="B36" s="116"/>
      <c r="C36" s="116"/>
      <c r="D36" s="116"/>
      <c r="E36" s="116"/>
      <c r="F36" s="116"/>
    </row>
  </sheetData>
  <autoFilter ref="B19:F24" xr:uid="{C65B2030-2465-4504-BABB-CD5AA244F270}">
    <filterColumn colId="1">
      <customFilters>
        <customFilter operator="notEqual" val=" "/>
      </customFilters>
    </filterColumn>
  </autoFilter>
  <mergeCells count="9">
    <mergeCell ref="B17:C17"/>
    <mergeCell ref="B26:F36"/>
    <mergeCell ref="B3:F3"/>
    <mergeCell ref="B5:F5"/>
    <mergeCell ref="B4:F4"/>
    <mergeCell ref="B6:F9"/>
    <mergeCell ref="C13:F13"/>
    <mergeCell ref="C14:F14"/>
    <mergeCell ref="C15:F15"/>
  </mergeCells>
  <dataValidations disablePrompts="1" count="1">
    <dataValidation type="list" allowBlank="1" showInputMessage="1" showErrorMessage="1" sqref="A4" xr:uid="{5756BE04-2C7A-4A83-BB2A-81897DD593F1}">
      <formula1>"1,2,3,4,5"</formula1>
    </dataValidation>
  </dataValidations>
  <pageMargins left="1.013095238095238" right="0.23622047244094491" top="0.74803149606299213" bottom="0.74803149606299213" header="0.31496062992125984" footer="0.11811023622047245"/>
  <pageSetup scale="92" orientation="portrait" r:id="rId1"/>
  <headerFooter>
    <oddHeader>&amp;L&amp;G</oddHeader>
    <oddFooter>&amp;L&amp;G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C3BB-EFED-429B-A4BA-1583C3F3C9F2}">
  <sheetPr codeName="Hoja6" filterMode="1">
    <tabColor rgb="FFFF66CC"/>
  </sheetPr>
  <dimension ref="A3:F36"/>
  <sheetViews>
    <sheetView view="pageLayout" zoomScale="70" zoomScaleNormal="100" zoomScalePageLayoutView="70" workbookViewId="0">
      <selection activeCell="C14" sqref="C14:F14"/>
    </sheetView>
  </sheetViews>
  <sheetFormatPr baseColWidth="10" defaultColWidth="11.5703125" defaultRowHeight="15" x14ac:dyDescent="0.25"/>
  <cols>
    <col min="1" max="1" width="1.42578125" customWidth="1"/>
    <col min="2" max="2" width="5.7109375" customWidth="1"/>
    <col min="3" max="3" width="49" customWidth="1"/>
    <col min="4" max="5" width="11.28515625" customWidth="1"/>
    <col min="6" max="6" width="10.85546875" customWidth="1"/>
  </cols>
  <sheetData>
    <row r="3" spans="1:6" ht="21.75" customHeight="1" x14ac:dyDescent="0.25">
      <c r="B3" s="75" t="s">
        <v>327</v>
      </c>
      <c r="C3" s="75"/>
      <c r="D3" s="75"/>
      <c r="E3" s="75"/>
      <c r="F3" s="75"/>
    </row>
    <row r="4" spans="1:6" ht="18.75" x14ac:dyDescent="0.25">
      <c r="A4" s="16">
        <v>2</v>
      </c>
      <c r="B4" s="117" t="str">
        <f>+_xlfn.CONCAT("Unidad ",A4,": ",_xlfn.XLOOKUP(_xlfn.CONCAT("Unidad ",A4),Tabla5[Unidad],Tabla5[Nombre de la unidad],"",0,1))</f>
        <v>Unidad 2: Exploración y visualización datos en Big Data</v>
      </c>
      <c r="C4" s="117"/>
      <c r="D4" s="117"/>
      <c r="E4" s="117"/>
      <c r="F4" s="117"/>
    </row>
    <row r="5" spans="1:6" ht="15" customHeight="1" x14ac:dyDescent="0.25">
      <c r="B5" s="77" t="s">
        <v>43</v>
      </c>
      <c r="C5" s="77"/>
      <c r="D5" s="77"/>
      <c r="E5" s="77"/>
      <c r="F5" s="77"/>
    </row>
    <row r="6" spans="1:6" ht="15.75" customHeight="1" x14ac:dyDescent="0.25">
      <c r="B6" s="78" t="str">
        <f>+_xlfn.XLOOKUP(_xlfn.CONCAT("Unidad ",$A$4),referencias!B2:B13,referencias!C2:C13,"",0,1)</f>
        <v>En esta unidad vamos a iniciar la gestión y manejo de grandes volúmenes de datos para la lectura, corrección, imputación y preparado de las bases para el análisis estadístico, además de iniciar la exploración de los datos con el cálculo de estadísticas descriptivas y la utilización de gráficas</v>
      </c>
      <c r="C6" s="78"/>
      <c r="D6" s="78"/>
      <c r="E6" s="78"/>
      <c r="F6" s="78"/>
    </row>
    <row r="7" spans="1:6" ht="15" customHeight="1" x14ac:dyDescent="0.25">
      <c r="B7" s="78"/>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t="s">
        <v>39</v>
      </c>
    </row>
    <row r="11" spans="1:6" ht="12.75" customHeight="1" thickBot="1" x14ac:dyDescent="0.3"/>
    <row r="12" spans="1:6" ht="18" thickBot="1" x14ac:dyDescent="0.3">
      <c r="B12" s="7" t="s">
        <v>10</v>
      </c>
      <c r="C12" s="9" t="s">
        <v>22</v>
      </c>
      <c r="D12" s="9"/>
      <c r="E12" s="9"/>
      <c r="F12" s="9"/>
    </row>
    <row r="13" spans="1:6" ht="28.5" customHeight="1" thickBot="1" x14ac:dyDescent="0.3">
      <c r="B13" s="8">
        <v>1</v>
      </c>
      <c r="C13" s="118" t="str" cm="1">
        <f t="array" ref="C13">+_xlfn.XLOOKUP(_xlfn.CONCAT("Unidad ",$A$4,"-",B13),Tabla5[ref3],referencias!$G$2:$G$13,"",0,1)</f>
        <v>Emplear las técnicas adecuadas para visualizar y explorar el Big Data</v>
      </c>
      <c r="D13" s="118"/>
      <c r="E13" s="118"/>
      <c r="F13" s="118"/>
    </row>
    <row r="14" spans="1:6" ht="28.5" customHeight="1" thickBot="1" x14ac:dyDescent="0.3">
      <c r="B14" s="8">
        <v>2</v>
      </c>
      <c r="C14" s="119" t="str" cm="1">
        <f t="array" ref="C14">+_xlfn.XLOOKUP(_xlfn.CONCAT("Unidad ",$A$4,"-",B14),Tabla5[ref3],referencias!$G$2:$G$13,"",0,1)</f>
        <v>Implementar códigos de programación para ejecutar rutinas relacionadas al tema de la unidad</v>
      </c>
      <c r="D14" s="119"/>
      <c r="E14" s="119"/>
      <c r="F14" s="119"/>
    </row>
    <row r="15" spans="1:6" ht="28.5" customHeight="1" thickBot="1" x14ac:dyDescent="0.3">
      <c r="B15" s="8">
        <v>3</v>
      </c>
      <c r="C15" s="119" cm="1">
        <f t="array" ref="C15">+_xlfn.XLOOKUP(_xlfn.CONCAT("Unidad ",$A$4,"-",B15),Tabla5[ref3],referencias!$G$2:$G$13,"",0,1)</f>
        <v>0</v>
      </c>
      <c r="D15" s="119"/>
      <c r="E15" s="119"/>
      <c r="F15" s="119"/>
    </row>
    <row r="17" spans="2:6" ht="15.75" x14ac:dyDescent="0.25">
      <c r="B17" s="115" t="s">
        <v>31</v>
      </c>
      <c r="C17" s="115"/>
    </row>
    <row r="18" spans="2:6" ht="15.75" thickBot="1" x14ac:dyDescent="0.3"/>
    <row r="19" spans="2:6" ht="18" thickBot="1" x14ac:dyDescent="0.3">
      <c r="B19" s="7" t="s">
        <v>10</v>
      </c>
      <c r="C19" s="9" t="s">
        <v>32</v>
      </c>
      <c r="D19" s="9" t="s">
        <v>33</v>
      </c>
      <c r="E19" s="9" t="s">
        <v>34</v>
      </c>
      <c r="F19" s="9" t="s">
        <v>38</v>
      </c>
    </row>
    <row r="20" spans="2:6" ht="18" thickBot="1" x14ac:dyDescent="0.3">
      <c r="B20" s="8">
        <v>1</v>
      </c>
      <c r="C20" s="11" t="s">
        <v>40</v>
      </c>
      <c r="D20" s="12" t="e">
        <f>+_xlfn.XLOOKUP(_xlfn.CONCAT("Unidad ",$A$4,"-",B20),cronograma!#REF!,cronograma!$J$19:$J$34,"-",0,1)</f>
        <v>#REF!</v>
      </c>
      <c r="E20" s="12" t="e">
        <f>+_xlfn.XLOOKUP(_xlfn.CONCAT("Unidad ",$A$4,"-",B20),cronograma!#REF!,cronograma!$K$19:$K$34,"-",0,1)</f>
        <v>#REF!</v>
      </c>
      <c r="F20" s="13">
        <v>0</v>
      </c>
    </row>
    <row r="21" spans="2:6" ht="18" thickBot="1" x14ac:dyDescent="0.3">
      <c r="B21" s="8">
        <v>2</v>
      </c>
      <c r="C21" s="11" t="s">
        <v>41</v>
      </c>
      <c r="D21" s="12" t="e">
        <f>+_xlfn.XLOOKUP(_xlfn.CONCAT("Unidad ",$A$4,"-",B21),cronograma!#REF!,cronograma!$J$19:$J$34,"-",0,1)</f>
        <v>#REF!</v>
      </c>
      <c r="E21" s="12" t="e">
        <f>+_xlfn.XLOOKUP(_xlfn.CONCAT("Unidad ",$A$4,"-",B21),cronograma!#REF!,cronograma!$K$19:$K$34,"-",0,1)</f>
        <v>#REF!</v>
      </c>
      <c r="F21" s="13">
        <v>100</v>
      </c>
    </row>
    <row r="22" spans="2:6" ht="18" thickBot="1" x14ac:dyDescent="0.3">
      <c r="B22" s="8">
        <v>3</v>
      </c>
      <c r="C22" s="11" t="s">
        <v>42</v>
      </c>
      <c r="D22" s="12" t="e">
        <f>+_xlfn.XLOOKUP(_xlfn.CONCAT("Unidad ",$A$4,"-",B22),cronograma!#REF!,cronograma!$J$19:$J$34,"-",0,1)</f>
        <v>#REF!</v>
      </c>
      <c r="E22" s="12" t="e">
        <f>+_xlfn.XLOOKUP(_xlfn.CONCAT("Unidad ",$A$4,"-",B22),cronograma!#REF!,cronograma!$K$19:$K$34,"-",0,1)</f>
        <v>#REF!</v>
      </c>
      <c r="F22" s="13">
        <v>100</v>
      </c>
    </row>
    <row r="23" spans="2:6" ht="18" hidden="1" thickBot="1" x14ac:dyDescent="0.3">
      <c r="B23" s="8">
        <v>6</v>
      </c>
      <c r="C23" s="11" t="e">
        <f>+IF(D23="-","","Clase sincrónica de la unidad (2da)  (AF)")</f>
        <v>#REF!</v>
      </c>
      <c r="D23" s="12" t="e">
        <f>+_xlfn.XLOOKUP(_xlfn.CONCAT("Unidad ",$A$4,"-",B23),cronograma!#REF!,cronograma!$J$19:$J$34,"-",0,1)</f>
        <v>#REF!</v>
      </c>
      <c r="E23" s="12" t="e">
        <f>+_xlfn.XLOOKUP(_xlfn.CONCAT("Unidad ",$A$4,"-",B23),cronograma!#REF!,cronograma!$K$19:$K$34,"-",0,1)</f>
        <v>#REF!</v>
      </c>
      <c r="F23" s="13">
        <v>0</v>
      </c>
    </row>
    <row r="24" spans="2:6" ht="18" hidden="1" thickBot="1" x14ac:dyDescent="0.3">
      <c r="B24" s="10">
        <v>7</v>
      </c>
      <c r="C24" s="11" t="e">
        <f>+IF(D24="-","","Clase sincrónica de la unidad (3ra)  (AF)")</f>
        <v>#REF!</v>
      </c>
      <c r="D24" s="12" t="e">
        <f>+_xlfn.XLOOKUP(_xlfn.CONCAT("Unidad ",$A$4,"-",B24),cronograma!#REF!,cronograma!$J$19:$J$34,"-",0,1)</f>
        <v>#REF!</v>
      </c>
      <c r="E24" s="12" t="e">
        <f>+_xlfn.XLOOKUP(_xlfn.CONCAT("Unidad ",$A$4,"-",B24),cronograma!#REF!,cronograma!$K$19:$K$34,"-",0,1)</f>
        <v>#REF!</v>
      </c>
      <c r="F24" s="14"/>
    </row>
    <row r="26" spans="2:6" ht="15" customHeight="1" x14ac:dyDescent="0.25">
      <c r="B26" s="116" t="s">
        <v>50</v>
      </c>
      <c r="C26" s="116"/>
      <c r="D26" s="116"/>
      <c r="E26" s="116"/>
      <c r="F26" s="116"/>
    </row>
    <row r="27" spans="2:6" x14ac:dyDescent="0.25">
      <c r="B27" s="116"/>
      <c r="C27" s="116"/>
      <c r="D27" s="116"/>
      <c r="E27" s="116"/>
      <c r="F27" s="116"/>
    </row>
    <row r="28" spans="2:6" x14ac:dyDescent="0.25">
      <c r="B28" s="116"/>
      <c r="C28" s="116"/>
      <c r="D28" s="116"/>
      <c r="E28" s="116"/>
      <c r="F28" s="116"/>
    </row>
    <row r="29" spans="2:6" x14ac:dyDescent="0.25">
      <c r="B29" s="116"/>
      <c r="C29" s="116"/>
      <c r="D29" s="116"/>
      <c r="E29" s="116"/>
      <c r="F29" s="116"/>
    </row>
    <row r="30" spans="2:6" x14ac:dyDescent="0.25">
      <c r="B30" s="116"/>
      <c r="C30" s="116"/>
      <c r="D30" s="116"/>
      <c r="E30" s="116"/>
      <c r="F30" s="116"/>
    </row>
    <row r="31" spans="2:6" x14ac:dyDescent="0.25">
      <c r="B31" s="116"/>
      <c r="C31" s="116"/>
      <c r="D31" s="116"/>
      <c r="E31" s="116"/>
      <c r="F31" s="116"/>
    </row>
    <row r="32" spans="2:6" x14ac:dyDescent="0.25">
      <c r="B32" s="116"/>
      <c r="C32" s="116"/>
      <c r="D32" s="116"/>
      <c r="E32" s="116"/>
      <c r="F32" s="116"/>
    </row>
    <row r="33" spans="2:6" x14ac:dyDescent="0.25">
      <c r="B33" s="116"/>
      <c r="C33" s="116"/>
      <c r="D33" s="116"/>
      <c r="E33" s="116"/>
      <c r="F33" s="116"/>
    </row>
    <row r="34" spans="2:6" x14ac:dyDescent="0.25">
      <c r="B34" s="116"/>
      <c r="C34" s="116"/>
      <c r="D34" s="116"/>
      <c r="E34" s="116"/>
      <c r="F34" s="116"/>
    </row>
    <row r="35" spans="2:6" x14ac:dyDescent="0.25">
      <c r="B35" s="116"/>
      <c r="C35" s="116"/>
      <c r="D35" s="116"/>
      <c r="E35" s="116"/>
      <c r="F35" s="116"/>
    </row>
    <row r="36" spans="2:6" x14ac:dyDescent="0.25">
      <c r="B36" s="116"/>
      <c r="C36" s="116"/>
      <c r="D36" s="116"/>
      <c r="E36" s="116"/>
      <c r="F36" s="116"/>
    </row>
  </sheetData>
  <autoFilter ref="B19:F24" xr:uid="{C65B2030-2465-4504-BABB-CD5AA244F270}">
    <filterColumn colId="1">
      <customFilters>
        <customFilter operator="notEqual" val=" "/>
      </customFilters>
    </filterColumn>
  </autoFilter>
  <mergeCells count="9">
    <mergeCell ref="C15:F15"/>
    <mergeCell ref="B17:C17"/>
    <mergeCell ref="B26:F36"/>
    <mergeCell ref="B3:F3"/>
    <mergeCell ref="B4:F4"/>
    <mergeCell ref="B5:F5"/>
    <mergeCell ref="B6:F9"/>
    <mergeCell ref="C13:F13"/>
    <mergeCell ref="C14:F14"/>
  </mergeCells>
  <dataValidations count="1">
    <dataValidation type="list" allowBlank="1" showInputMessage="1" showErrorMessage="1" sqref="A4" xr:uid="{DFD36144-56BB-41F0-8908-393F50FF4C90}">
      <formula1>"1,2,3,4,5"</formula1>
    </dataValidation>
  </dataValidations>
  <pageMargins left="1.013095238095238" right="0.23622047244094491" top="0.74803149606299213" bottom="0.74803149606299213" header="0.31496062992125984" footer="0.11811023622047245"/>
  <pageSetup scale="92" orientation="portrait" r:id="rId1"/>
  <headerFooter>
    <oddHeader>&amp;L&amp;G</oddHeader>
    <oddFooter>&amp;L&amp;G</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21FDA-6688-49C4-941A-33674F93C4C2}">
  <sheetPr codeName="Hoja7" filterMode="1">
    <tabColor rgb="FFFF66CC"/>
  </sheetPr>
  <dimension ref="A3:F36"/>
  <sheetViews>
    <sheetView view="pageLayout" zoomScaleNormal="100" workbookViewId="0">
      <selection activeCell="B17" sqref="B17:C17"/>
    </sheetView>
  </sheetViews>
  <sheetFormatPr baseColWidth="10" defaultColWidth="11.5703125" defaultRowHeight="15" x14ac:dyDescent="0.25"/>
  <cols>
    <col min="1" max="1" width="1.42578125" customWidth="1"/>
    <col min="2" max="2" width="5.7109375" customWidth="1"/>
    <col min="3" max="3" width="49" customWidth="1"/>
    <col min="4" max="5" width="11.28515625" customWidth="1"/>
    <col min="6" max="6" width="10.85546875" customWidth="1"/>
  </cols>
  <sheetData>
    <row r="3" spans="1:6" ht="21.75" customHeight="1" x14ac:dyDescent="0.25">
      <c r="B3" s="75" t="s">
        <v>327</v>
      </c>
      <c r="C3" s="75"/>
      <c r="D3" s="75"/>
      <c r="E3" s="75"/>
      <c r="F3" s="75"/>
    </row>
    <row r="4" spans="1:6" ht="18.75" x14ac:dyDescent="0.25">
      <c r="A4" s="16">
        <v>3</v>
      </c>
      <c r="B4" s="117" t="str">
        <f>+_xlfn.CONCAT("Unidad ",A4,": ",_xlfn.XLOOKUP(_xlfn.CONCAT("Unidad ",A4),Tabla5[Unidad],Tabla5[Nombre de la unidad],"",0,1))</f>
        <v>Unidad 3: Machine Learning para Big Data</v>
      </c>
      <c r="C4" s="117"/>
      <c r="D4" s="117"/>
      <c r="E4" s="117"/>
      <c r="F4" s="117"/>
    </row>
    <row r="5" spans="1:6" ht="15" customHeight="1" x14ac:dyDescent="0.25">
      <c r="B5" s="77" t="s">
        <v>43</v>
      </c>
      <c r="C5" s="77"/>
      <c r="D5" s="77"/>
      <c r="E5" s="77"/>
      <c r="F5" s="77"/>
    </row>
    <row r="6" spans="1:6" ht="15.75" customHeight="1" x14ac:dyDescent="0.25">
      <c r="B6" s="78" t="str">
        <f>+_xlfn.XLOOKUP(_xlfn.CONCAT("Unidad ",$A$4),referencias!B2:B13,referencias!C2:C13,"",0,1)</f>
        <v>En esta unidad vamos a abordar una introducción a las técnicas de aprendizaje automático o Machine Leanign mediante la creacion de modelos predictivos, la regresión logística, el análisis discriminante y otras técnicas estadísticas.</v>
      </c>
      <c r="C6" s="78"/>
      <c r="D6" s="78"/>
      <c r="E6" s="78"/>
      <c r="F6" s="78"/>
    </row>
    <row r="7" spans="1:6" ht="15" customHeight="1" x14ac:dyDescent="0.25">
      <c r="B7" s="78"/>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t="s">
        <v>39</v>
      </c>
    </row>
    <row r="11" spans="1:6" ht="12.75" customHeight="1" thickBot="1" x14ac:dyDescent="0.3"/>
    <row r="12" spans="1:6" ht="18" thickBot="1" x14ac:dyDescent="0.3">
      <c r="B12" s="7" t="s">
        <v>10</v>
      </c>
      <c r="C12" s="9" t="s">
        <v>22</v>
      </c>
      <c r="D12" s="9"/>
      <c r="E12" s="9"/>
      <c r="F12" s="9"/>
    </row>
    <row r="13" spans="1:6" ht="28.5" customHeight="1" thickBot="1" x14ac:dyDescent="0.3">
      <c r="B13" s="8">
        <v>1</v>
      </c>
      <c r="C13" s="118" t="str" cm="1">
        <f t="array" ref="C13">+_xlfn.XLOOKUP(_xlfn.CONCAT("Unidad ",$A$4,"-",B13),Tabla5[ref3],referencias!$G$2:$G$13,"",0,1)</f>
        <v>Identificar y utilizar algunas herramientas para la técnica de aprendizaje automático (Machine Learning)</v>
      </c>
      <c r="D13" s="118"/>
      <c r="E13" s="118"/>
      <c r="F13" s="118"/>
    </row>
    <row r="14" spans="1:6" ht="28.5" customHeight="1" thickBot="1" x14ac:dyDescent="0.3">
      <c r="B14" s="8">
        <v>2</v>
      </c>
      <c r="C14" s="119" t="str" cm="1">
        <f t="array" ref="C14">+_xlfn.XLOOKUP(_xlfn.CONCAT("Unidad ",$A$4,"-",B14),Tabla5[ref3],referencias!$G$2:$G$13,"",0,1)</f>
        <v>Implementar códigos de programación para ejecutar rutinas relacionadas al tema de la unidad</v>
      </c>
      <c r="D14" s="119"/>
      <c r="E14" s="119"/>
      <c r="F14" s="119"/>
    </row>
    <row r="15" spans="1:6" ht="28.5" customHeight="1" thickBot="1" x14ac:dyDescent="0.3">
      <c r="B15" s="8">
        <v>3</v>
      </c>
      <c r="C15" s="119" cm="1">
        <f t="array" ref="C15">+_xlfn.XLOOKUP(_xlfn.CONCAT("Unidad ",$A$4,"-",B15),Tabla5[ref3],referencias!$G$2:$G$13,"",0,1)</f>
        <v>0</v>
      </c>
      <c r="D15" s="119"/>
      <c r="E15" s="119"/>
      <c r="F15" s="119"/>
    </row>
    <row r="17" spans="2:6" ht="15.75" x14ac:dyDescent="0.25">
      <c r="B17" s="115" t="s">
        <v>31</v>
      </c>
      <c r="C17" s="115"/>
    </row>
    <row r="18" spans="2:6" ht="15.75" thickBot="1" x14ac:dyDescent="0.3"/>
    <row r="19" spans="2:6" ht="18" thickBot="1" x14ac:dyDescent="0.3">
      <c r="B19" s="7" t="s">
        <v>10</v>
      </c>
      <c r="C19" s="9" t="s">
        <v>32</v>
      </c>
      <c r="D19" s="9" t="s">
        <v>33</v>
      </c>
      <c r="E19" s="9" t="s">
        <v>34</v>
      </c>
      <c r="F19" s="9" t="s">
        <v>38</v>
      </c>
    </row>
    <row r="20" spans="2:6" ht="18" thickBot="1" x14ac:dyDescent="0.3">
      <c r="B20" s="8">
        <v>1</v>
      </c>
      <c r="C20" s="11" t="s">
        <v>40</v>
      </c>
      <c r="D20" s="12" t="e">
        <f>+_xlfn.XLOOKUP(_xlfn.CONCAT("Unidad ",$A$4,"-",B20),cronograma!#REF!,cronograma!$J$19:$J$34,"-",0,1)</f>
        <v>#REF!</v>
      </c>
      <c r="E20" s="12" t="e">
        <f>+_xlfn.XLOOKUP(_xlfn.CONCAT("Unidad ",$A$4,"-",B20),cronograma!#REF!,cronograma!$K$19:$K$34,"-",0,1)</f>
        <v>#REF!</v>
      </c>
      <c r="F20" s="13">
        <v>0</v>
      </c>
    </row>
    <row r="21" spans="2:6" ht="18" thickBot="1" x14ac:dyDescent="0.3">
      <c r="B21" s="8">
        <v>2</v>
      </c>
      <c r="C21" s="11" t="s">
        <v>41</v>
      </c>
      <c r="D21" s="12" t="e">
        <f>+_xlfn.XLOOKUP(_xlfn.CONCAT("Unidad ",$A$4,"-",B21),cronograma!#REF!,cronograma!$J$19:$J$34,"-",0,1)</f>
        <v>#REF!</v>
      </c>
      <c r="E21" s="12" t="e">
        <f>+_xlfn.XLOOKUP(_xlfn.CONCAT("Unidad ",$A$4,"-",B21),cronograma!#REF!,cronograma!$K$19:$K$34,"-",0,1)</f>
        <v>#REF!</v>
      </c>
      <c r="F21" s="13">
        <v>100</v>
      </c>
    </row>
    <row r="22" spans="2:6" ht="18" thickBot="1" x14ac:dyDescent="0.3">
      <c r="B22" s="8">
        <v>3</v>
      </c>
      <c r="C22" s="11" t="s">
        <v>42</v>
      </c>
      <c r="D22" s="12" t="e">
        <f>+_xlfn.XLOOKUP(_xlfn.CONCAT("Unidad ",$A$4,"-",B22),cronograma!#REF!,cronograma!$J$19:$J$34,"-",0,1)</f>
        <v>#REF!</v>
      </c>
      <c r="E22" s="12" t="e">
        <f>+_xlfn.XLOOKUP(_xlfn.CONCAT("Unidad ",$A$4,"-",B22),cronograma!#REF!,cronograma!$K$19:$K$34,"-",0,1)</f>
        <v>#REF!</v>
      </c>
      <c r="F22" s="13">
        <v>100</v>
      </c>
    </row>
    <row r="23" spans="2:6" ht="18" hidden="1" thickBot="1" x14ac:dyDescent="0.3">
      <c r="B23" s="8">
        <v>6</v>
      </c>
      <c r="C23" s="11" t="e">
        <f>+IF(D23="-","","Clase sincrónica de la unidad (2da)  (AF)")</f>
        <v>#REF!</v>
      </c>
      <c r="D23" s="12" t="e">
        <f>+_xlfn.XLOOKUP(_xlfn.CONCAT("Unidad ",$A$4,"-",B23),cronograma!#REF!,cronograma!$J$19:$J$34,"-",0,1)</f>
        <v>#REF!</v>
      </c>
      <c r="E23" s="12" t="e">
        <f>+_xlfn.XLOOKUP(_xlfn.CONCAT("Unidad ",$A$4,"-",B23),cronograma!#REF!,cronograma!$K$19:$K$34,"-",0,1)</f>
        <v>#REF!</v>
      </c>
      <c r="F23" s="13">
        <v>0</v>
      </c>
    </row>
    <row r="24" spans="2:6" ht="18" hidden="1" thickBot="1" x14ac:dyDescent="0.3">
      <c r="B24" s="10">
        <v>7</v>
      </c>
      <c r="C24" s="11" t="e">
        <f>+IF(D24="-","","Clase sincrónica de la unidad (3ra)  (AF)")</f>
        <v>#REF!</v>
      </c>
      <c r="D24" s="12" t="e">
        <f>+_xlfn.XLOOKUP(_xlfn.CONCAT("Unidad ",$A$4,"-",B24),cronograma!#REF!,cronograma!$J$19:$J$34,"-",0,1)</f>
        <v>#REF!</v>
      </c>
      <c r="E24" s="12" t="e">
        <f>+_xlfn.XLOOKUP(_xlfn.CONCAT("Unidad ",$A$4,"-",B24),cronograma!#REF!,cronograma!$K$19:$K$34,"-",0,1)</f>
        <v>#REF!</v>
      </c>
      <c r="F24" s="14"/>
    </row>
    <row r="26" spans="2:6" ht="15" customHeight="1" x14ac:dyDescent="0.25">
      <c r="B26" s="116" t="s">
        <v>50</v>
      </c>
      <c r="C26" s="116"/>
      <c r="D26" s="116"/>
      <c r="E26" s="116"/>
      <c r="F26" s="116"/>
    </row>
    <row r="27" spans="2:6" x14ac:dyDescent="0.25">
      <c r="B27" s="116"/>
      <c r="C27" s="116"/>
      <c r="D27" s="116"/>
      <c r="E27" s="116"/>
      <c r="F27" s="116"/>
    </row>
    <row r="28" spans="2:6" x14ac:dyDescent="0.25">
      <c r="B28" s="116"/>
      <c r="C28" s="116"/>
      <c r="D28" s="116"/>
      <c r="E28" s="116"/>
      <c r="F28" s="116"/>
    </row>
    <row r="29" spans="2:6" x14ac:dyDescent="0.25">
      <c r="B29" s="116"/>
      <c r="C29" s="116"/>
      <c r="D29" s="116"/>
      <c r="E29" s="116"/>
      <c r="F29" s="116"/>
    </row>
    <row r="30" spans="2:6" x14ac:dyDescent="0.25">
      <c r="B30" s="116"/>
      <c r="C30" s="116"/>
      <c r="D30" s="116"/>
      <c r="E30" s="116"/>
      <c r="F30" s="116"/>
    </row>
    <row r="31" spans="2:6" x14ac:dyDescent="0.25">
      <c r="B31" s="116"/>
      <c r="C31" s="116"/>
      <c r="D31" s="116"/>
      <c r="E31" s="116"/>
      <c r="F31" s="116"/>
    </row>
    <row r="32" spans="2:6" x14ac:dyDescent="0.25">
      <c r="B32" s="116"/>
      <c r="C32" s="116"/>
      <c r="D32" s="116"/>
      <c r="E32" s="116"/>
      <c r="F32" s="116"/>
    </row>
    <row r="33" spans="2:6" x14ac:dyDescent="0.25">
      <c r="B33" s="116"/>
      <c r="C33" s="116"/>
      <c r="D33" s="116"/>
      <c r="E33" s="116"/>
      <c r="F33" s="116"/>
    </row>
    <row r="34" spans="2:6" x14ac:dyDescent="0.25">
      <c r="B34" s="116"/>
      <c r="C34" s="116"/>
      <c r="D34" s="116"/>
      <c r="E34" s="116"/>
      <c r="F34" s="116"/>
    </row>
    <row r="35" spans="2:6" x14ac:dyDescent="0.25">
      <c r="B35" s="116"/>
      <c r="C35" s="116"/>
      <c r="D35" s="116"/>
      <c r="E35" s="116"/>
      <c r="F35" s="116"/>
    </row>
    <row r="36" spans="2:6" x14ac:dyDescent="0.25">
      <c r="B36" s="116"/>
      <c r="C36" s="116"/>
      <c r="D36" s="116"/>
      <c r="E36" s="116"/>
      <c r="F36" s="116"/>
    </row>
  </sheetData>
  <autoFilter ref="B19:F24" xr:uid="{C65B2030-2465-4504-BABB-CD5AA244F270}">
    <filterColumn colId="1">
      <customFilters>
        <customFilter operator="notEqual" val=" "/>
      </customFilters>
    </filterColumn>
  </autoFilter>
  <mergeCells count="9">
    <mergeCell ref="C15:F15"/>
    <mergeCell ref="B17:C17"/>
    <mergeCell ref="B26:F36"/>
    <mergeCell ref="B3:F3"/>
    <mergeCell ref="B4:F4"/>
    <mergeCell ref="B5:F5"/>
    <mergeCell ref="B6:F9"/>
    <mergeCell ref="C13:F13"/>
    <mergeCell ref="C14:F14"/>
  </mergeCells>
  <dataValidations count="1">
    <dataValidation type="list" allowBlank="1" showInputMessage="1" showErrorMessage="1" sqref="A4" xr:uid="{CEFC66E8-8B55-4965-9FDA-90826908FDD7}">
      <formula1>"1,2,3,4,5"</formula1>
    </dataValidation>
  </dataValidations>
  <pageMargins left="1.013095238095238" right="0.23622047244094491" top="0.74803149606299213" bottom="0.74803149606299213" header="0.31496062992125984" footer="0.11811023622047245"/>
  <pageSetup scale="92" orientation="portrait" r:id="rId1"/>
  <headerFooter>
    <oddHeader>&amp;L&amp;G</oddHeader>
    <oddFooter>&amp;L&amp;G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CFC6-2446-4D16-94BD-35EAD15F0751}">
  <sheetPr codeName="Hoja12" filterMode="1">
    <tabColor rgb="FFFF66CC"/>
  </sheetPr>
  <dimension ref="A3:F36"/>
  <sheetViews>
    <sheetView view="pageLayout" zoomScale="70" zoomScaleNormal="100" zoomScalePageLayoutView="70" workbookViewId="0">
      <selection activeCell="B17" sqref="B17:C17"/>
    </sheetView>
  </sheetViews>
  <sheetFormatPr baseColWidth="10" defaultColWidth="11.5703125" defaultRowHeight="15" x14ac:dyDescent="0.25"/>
  <cols>
    <col min="1" max="1" width="1.42578125" customWidth="1"/>
    <col min="2" max="2" width="5.7109375" customWidth="1"/>
    <col min="3" max="3" width="49" customWidth="1"/>
    <col min="4" max="5" width="11.28515625" customWidth="1"/>
    <col min="6" max="6" width="10.85546875" customWidth="1"/>
  </cols>
  <sheetData>
    <row r="3" spans="1:6" ht="21.75" customHeight="1" x14ac:dyDescent="0.25">
      <c r="B3" s="75" t="s">
        <v>327</v>
      </c>
      <c r="C3" s="75"/>
      <c r="D3" s="75"/>
      <c r="E3" s="75"/>
      <c r="F3" s="75"/>
    </row>
    <row r="4" spans="1:6" ht="18.75" x14ac:dyDescent="0.25">
      <c r="A4" s="16">
        <v>4</v>
      </c>
      <c r="B4" s="117" t="str">
        <f>+_xlfn.CONCAT("Unidad ",A4,": ",_xlfn.XLOOKUP(_xlfn.CONCAT("Unidad ",A4),Tabla5[Unidad],Tabla5[Nombre de la unidad],"",0,1))</f>
        <v>Unidad 4: Interpretación de los resultados y modelos estadísticos en Big Data</v>
      </c>
      <c r="C4" s="117"/>
      <c r="D4" s="117"/>
      <c r="E4" s="117"/>
      <c r="F4" s="117"/>
    </row>
    <row r="5" spans="1:6" ht="15" customHeight="1" x14ac:dyDescent="0.25">
      <c r="B5" s="77" t="s">
        <v>43</v>
      </c>
      <c r="C5" s="77"/>
      <c r="D5" s="77"/>
      <c r="E5" s="77"/>
      <c r="F5" s="77"/>
    </row>
    <row r="6" spans="1:6" ht="15.75" customHeight="1" x14ac:dyDescent="0.25">
      <c r="B6" s="78" t="str">
        <f>+_xlfn.XLOOKUP(_xlfn.CONCAT("Unidad ",$A$4),referencias!B2:B13,referencias!C2:C13,"",0,1)</f>
        <v>En esta unidad vamos a estudiar la interpretación de los resultados y modelos estadísticos para generar información estadísticas en Big Data</v>
      </c>
      <c r="C6" s="78"/>
      <c r="D6" s="78"/>
      <c r="E6" s="78"/>
      <c r="F6" s="78"/>
    </row>
    <row r="7" spans="1:6" ht="15" customHeight="1" x14ac:dyDescent="0.25">
      <c r="B7" s="78"/>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t="s">
        <v>39</v>
      </c>
    </row>
    <row r="11" spans="1:6" ht="12.75" customHeight="1" thickBot="1" x14ac:dyDescent="0.3"/>
    <row r="12" spans="1:6" ht="18" thickBot="1" x14ac:dyDescent="0.3">
      <c r="B12" s="7" t="s">
        <v>10</v>
      </c>
      <c r="C12" s="9" t="s">
        <v>22</v>
      </c>
      <c r="D12" s="9"/>
      <c r="E12" s="9"/>
      <c r="F12" s="9"/>
    </row>
    <row r="13" spans="1:6" ht="28.5" customHeight="1" thickBot="1" x14ac:dyDescent="0.3">
      <c r="B13" s="8">
        <v>1</v>
      </c>
      <c r="C13" s="118" t="str" cm="1">
        <f t="array" ref="C13">+_xlfn.XLOOKUP(_xlfn.CONCAT("Unidad ",$A$4,"-",B13),Tabla5[ref3],referencias!$G$2:$G$13,"",0,1)</f>
        <v>Describir e Interpretar los resultados obtenidos mediante la utilización de las técnicas para el modelado estadístico en Big Data</v>
      </c>
      <c r="D13" s="118"/>
      <c r="E13" s="118"/>
      <c r="F13" s="118"/>
    </row>
    <row r="14" spans="1:6" ht="28.5" customHeight="1" thickBot="1" x14ac:dyDescent="0.3">
      <c r="B14" s="8">
        <v>2</v>
      </c>
      <c r="C14" s="119" t="str" cm="1">
        <f t="array" ref="C14">+_xlfn.XLOOKUP(_xlfn.CONCAT("Unidad ",$A$4,"-",B14),Tabla5[ref3],referencias!$G$2:$G$13,"",0,1)</f>
        <v>Implementar códigos de programación para ejecutar rutinas relacionadas al tema de la unidad</v>
      </c>
      <c r="D14" s="119"/>
      <c r="E14" s="119"/>
      <c r="F14" s="119"/>
    </row>
    <row r="15" spans="1:6" ht="28.5" customHeight="1" thickBot="1" x14ac:dyDescent="0.3">
      <c r="B15" s="8">
        <v>3</v>
      </c>
      <c r="C15" s="119" cm="1">
        <f t="array" ref="C15">+_xlfn.XLOOKUP(_xlfn.CONCAT("Unidad ",$A$4,"-",B15),Tabla5[ref3],referencias!$G$2:$G$13,"",0,1)</f>
        <v>0</v>
      </c>
      <c r="D15" s="119"/>
      <c r="E15" s="119"/>
      <c r="F15" s="119"/>
    </row>
    <row r="17" spans="2:6" ht="15.75" x14ac:dyDescent="0.25">
      <c r="B17" s="115" t="s">
        <v>31</v>
      </c>
      <c r="C17" s="115"/>
    </row>
    <row r="18" spans="2:6" ht="15.75" thickBot="1" x14ac:dyDescent="0.3"/>
    <row r="19" spans="2:6" ht="18" thickBot="1" x14ac:dyDescent="0.3">
      <c r="B19" s="7" t="s">
        <v>10</v>
      </c>
      <c r="C19" s="9" t="s">
        <v>32</v>
      </c>
      <c r="D19" s="9" t="s">
        <v>33</v>
      </c>
      <c r="E19" s="9" t="s">
        <v>34</v>
      </c>
      <c r="F19" s="9" t="s">
        <v>38</v>
      </c>
    </row>
    <row r="20" spans="2:6" ht="18" thickBot="1" x14ac:dyDescent="0.3">
      <c r="B20" s="8">
        <v>1</v>
      </c>
      <c r="C20" s="11" t="s">
        <v>40</v>
      </c>
      <c r="D20" s="12" t="e">
        <f>+_xlfn.XLOOKUP(_xlfn.CONCAT("Unidad ",$A$4,"-",B20),cronograma!#REF!,cronograma!$J$19:$J$34,"-",0,1)</f>
        <v>#REF!</v>
      </c>
      <c r="E20" s="12" t="e">
        <f>+_xlfn.XLOOKUP(_xlfn.CONCAT("Unidad ",$A$4,"-",B20),cronograma!#REF!,cronograma!$K$19:$K$34,"-",0,1)</f>
        <v>#REF!</v>
      </c>
      <c r="F20" s="13">
        <v>0</v>
      </c>
    </row>
    <row r="21" spans="2:6" ht="18" thickBot="1" x14ac:dyDescent="0.3">
      <c r="B21" s="8">
        <v>2</v>
      </c>
      <c r="C21" s="11" t="s">
        <v>41</v>
      </c>
      <c r="D21" s="12" t="e">
        <f>+_xlfn.XLOOKUP(_xlfn.CONCAT("Unidad ",$A$4,"-",B21),cronograma!#REF!,cronograma!$J$19:$J$34,"-",0,1)</f>
        <v>#REF!</v>
      </c>
      <c r="E21" s="12" t="e">
        <f>+_xlfn.XLOOKUP(_xlfn.CONCAT("Unidad ",$A$4,"-",B21),cronograma!#REF!,cronograma!$K$19:$K$34,"-",0,1)</f>
        <v>#REF!</v>
      </c>
      <c r="F21" s="13">
        <v>100</v>
      </c>
    </row>
    <row r="22" spans="2:6" ht="18" thickBot="1" x14ac:dyDescent="0.3">
      <c r="B22" s="8">
        <v>3</v>
      </c>
      <c r="C22" s="11" t="s">
        <v>42</v>
      </c>
      <c r="D22" s="12" t="e">
        <f>+_xlfn.XLOOKUP(_xlfn.CONCAT("Unidad ",$A$4,"-",B22),cronograma!#REF!,cronograma!$J$19:$J$34,"-",0,1)</f>
        <v>#REF!</v>
      </c>
      <c r="E22" s="12" t="e">
        <f>+_xlfn.XLOOKUP(_xlfn.CONCAT("Unidad ",$A$4,"-",B22),cronograma!#REF!,cronograma!$K$19:$K$34,"-",0,1)</f>
        <v>#REF!</v>
      </c>
      <c r="F22" s="13">
        <v>100</v>
      </c>
    </row>
    <row r="23" spans="2:6" ht="18" hidden="1" thickBot="1" x14ac:dyDescent="0.3">
      <c r="B23" s="8">
        <v>6</v>
      </c>
      <c r="C23" s="11" t="e">
        <f>+IF(D23="-","","Clase sincrónica de la unidad (2da)  (AF)")</f>
        <v>#REF!</v>
      </c>
      <c r="D23" s="12" t="e">
        <f>+_xlfn.XLOOKUP(_xlfn.CONCAT("Unidad ",$A$4,"-",B23),cronograma!#REF!,cronograma!$J$19:$J$34,"-",0,1)</f>
        <v>#REF!</v>
      </c>
      <c r="E23" s="12" t="e">
        <f>+_xlfn.XLOOKUP(_xlfn.CONCAT("Unidad ",$A$4,"-",B23),cronograma!#REF!,cronograma!$K$19:$K$34,"-",0,1)</f>
        <v>#REF!</v>
      </c>
      <c r="F23" s="13">
        <v>0</v>
      </c>
    </row>
    <row r="24" spans="2:6" ht="18" hidden="1" thickBot="1" x14ac:dyDescent="0.3">
      <c r="B24" s="10">
        <v>7</v>
      </c>
      <c r="C24" s="11" t="e">
        <f>+IF(D24="-","","Clase sincrónica de la unidad (3ra)  (AF)")</f>
        <v>#REF!</v>
      </c>
      <c r="D24" s="12" t="e">
        <f>+_xlfn.XLOOKUP(_xlfn.CONCAT("Unidad ",$A$4,"-",B24),cronograma!#REF!,cronograma!$J$19:$J$34,"-",0,1)</f>
        <v>#REF!</v>
      </c>
      <c r="E24" s="12" t="e">
        <f>+_xlfn.XLOOKUP(_xlfn.CONCAT("Unidad ",$A$4,"-",B24),cronograma!#REF!,cronograma!$K$19:$K$34,"-",0,1)</f>
        <v>#REF!</v>
      </c>
      <c r="F24" s="14"/>
    </row>
    <row r="26" spans="2:6" ht="15" customHeight="1" x14ac:dyDescent="0.25">
      <c r="B26" s="116" t="s">
        <v>50</v>
      </c>
      <c r="C26" s="116"/>
      <c r="D26" s="116"/>
      <c r="E26" s="116"/>
      <c r="F26" s="116"/>
    </row>
    <row r="27" spans="2:6" x14ac:dyDescent="0.25">
      <c r="B27" s="116"/>
      <c r="C27" s="116"/>
      <c r="D27" s="116"/>
      <c r="E27" s="116"/>
      <c r="F27" s="116"/>
    </row>
    <row r="28" spans="2:6" x14ac:dyDescent="0.25">
      <c r="B28" s="116"/>
      <c r="C28" s="116"/>
      <c r="D28" s="116"/>
      <c r="E28" s="116"/>
      <c r="F28" s="116"/>
    </row>
    <row r="29" spans="2:6" x14ac:dyDescent="0.25">
      <c r="B29" s="116"/>
      <c r="C29" s="116"/>
      <c r="D29" s="116"/>
      <c r="E29" s="116"/>
      <c r="F29" s="116"/>
    </row>
    <row r="30" spans="2:6" x14ac:dyDescent="0.25">
      <c r="B30" s="116"/>
      <c r="C30" s="116"/>
      <c r="D30" s="116"/>
      <c r="E30" s="116"/>
      <c r="F30" s="116"/>
    </row>
    <row r="31" spans="2:6" x14ac:dyDescent="0.25">
      <c r="B31" s="116"/>
      <c r="C31" s="116"/>
      <c r="D31" s="116"/>
      <c r="E31" s="116"/>
      <c r="F31" s="116"/>
    </row>
    <row r="32" spans="2:6" x14ac:dyDescent="0.25">
      <c r="B32" s="116"/>
      <c r="C32" s="116"/>
      <c r="D32" s="116"/>
      <c r="E32" s="116"/>
      <c r="F32" s="116"/>
    </row>
    <row r="33" spans="2:6" x14ac:dyDescent="0.25">
      <c r="B33" s="116"/>
      <c r="C33" s="116"/>
      <c r="D33" s="116"/>
      <c r="E33" s="116"/>
      <c r="F33" s="116"/>
    </row>
    <row r="34" spans="2:6" x14ac:dyDescent="0.25">
      <c r="B34" s="116"/>
      <c r="C34" s="116"/>
      <c r="D34" s="116"/>
      <c r="E34" s="116"/>
      <c r="F34" s="116"/>
    </row>
    <row r="35" spans="2:6" x14ac:dyDescent="0.25">
      <c r="B35" s="116"/>
      <c r="C35" s="116"/>
      <c r="D35" s="116"/>
      <c r="E35" s="116"/>
      <c r="F35" s="116"/>
    </row>
    <row r="36" spans="2:6" x14ac:dyDescent="0.25">
      <c r="B36" s="116"/>
      <c r="C36" s="116"/>
      <c r="D36" s="116"/>
      <c r="E36" s="116"/>
      <c r="F36" s="116"/>
    </row>
  </sheetData>
  <autoFilter ref="B19:F24" xr:uid="{C65B2030-2465-4504-BABB-CD5AA244F270}">
    <filterColumn colId="1">
      <customFilters>
        <customFilter operator="notEqual" val=" "/>
      </customFilters>
    </filterColumn>
  </autoFilter>
  <mergeCells count="9">
    <mergeCell ref="C15:F15"/>
    <mergeCell ref="B17:C17"/>
    <mergeCell ref="B26:F36"/>
    <mergeCell ref="B3:F3"/>
    <mergeCell ref="B4:F4"/>
    <mergeCell ref="B5:F5"/>
    <mergeCell ref="B6:F9"/>
    <mergeCell ref="C13:F13"/>
    <mergeCell ref="C14:F14"/>
  </mergeCells>
  <dataValidations count="1">
    <dataValidation type="list" allowBlank="1" showInputMessage="1" showErrorMessage="1" sqref="A4" xr:uid="{CE5794AB-F78A-46E7-B8BD-A572831EB1CC}">
      <formula1>"1,2,3,4,5"</formula1>
    </dataValidation>
  </dataValidations>
  <pageMargins left="1.013095238095238" right="0.23622047244094491" top="0.74803149606299213" bottom="0.74803149606299213" header="0.31496062992125984" footer="0.11811023622047245"/>
  <pageSetup scale="92" orientation="portrait" r:id="rId1"/>
  <headerFooter>
    <oddHeader>&amp;L&amp;G</oddHeader>
    <oddFooter>&amp;L&amp;G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EB651-EAA7-4495-B189-622AA0223535}">
  <sheetPr codeName="Hoja8">
    <tabColor theme="7" tint="0.59999389629810485"/>
  </sheetPr>
  <dimension ref="A3:F27"/>
  <sheetViews>
    <sheetView view="pageLayout" zoomScale="85" zoomScaleNormal="100" zoomScalePageLayoutView="85" workbookViewId="0">
      <selection activeCell="B7" sqref="B7:F18"/>
    </sheetView>
  </sheetViews>
  <sheetFormatPr baseColWidth="10" defaultColWidth="11.5703125" defaultRowHeight="15" x14ac:dyDescent="0.25"/>
  <cols>
    <col min="1" max="1" width="3.85546875" customWidth="1"/>
    <col min="2" max="2" width="4.85546875" customWidth="1"/>
    <col min="3" max="3" width="49" customWidth="1"/>
    <col min="4" max="6" width="11" customWidth="1"/>
  </cols>
  <sheetData>
    <row r="3" spans="1:6" ht="21.75" customHeight="1" x14ac:dyDescent="0.25">
      <c r="B3" s="75" t="s">
        <v>327</v>
      </c>
      <c r="C3" s="75"/>
      <c r="D3" s="75"/>
      <c r="E3" s="75"/>
      <c r="F3" s="75"/>
    </row>
    <row r="4" spans="1:6" ht="18.75" x14ac:dyDescent="0.25">
      <c r="A4" s="16">
        <v>1</v>
      </c>
      <c r="B4" s="117" t="str">
        <f>+_xlfn.CONCAT("Unidad ",A4,": ",_xlfn.XLOOKUP(_xlfn.CONCAT("Unidad ",A4),Tabla5[Unidad],Tabla5[Nombre de la unidad],"",0,1))</f>
        <v>Unidad 1: Manejo de datos en Big Data – Introducciones conceptuales</v>
      </c>
      <c r="C4" s="117"/>
      <c r="D4" s="117"/>
      <c r="E4" s="117"/>
      <c r="F4" s="117"/>
    </row>
    <row r="5" spans="1:6" ht="15" customHeight="1" x14ac:dyDescent="0.25">
      <c r="B5" s="77" t="str">
        <f>+_xlfn.CONCAT("Descripción de la actividad ",A4,".1")</f>
        <v>Descripción de la actividad 1.1</v>
      </c>
      <c r="C5" s="77"/>
      <c r="D5" s="77"/>
      <c r="E5" s="77"/>
      <c r="F5" s="77"/>
    </row>
    <row r="6" spans="1:6" ht="15" customHeight="1" x14ac:dyDescent="0.25">
      <c r="B6" s="15"/>
      <c r="C6" s="15"/>
      <c r="D6" s="15"/>
      <c r="E6" s="15"/>
      <c r="F6" s="15"/>
    </row>
    <row r="7" spans="1:6" ht="15.75" customHeight="1" x14ac:dyDescent="0.25">
      <c r="B7" s="78" t="s">
        <v>371</v>
      </c>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s="78"/>
      <c r="C10" s="78"/>
      <c r="D10" s="78"/>
      <c r="E10" s="78"/>
      <c r="F10" s="78"/>
    </row>
    <row r="11" spans="1:6" ht="15" customHeight="1" x14ac:dyDescent="0.25">
      <c r="B11" s="78"/>
      <c r="C11" s="78"/>
      <c r="D11" s="78"/>
      <c r="E11" s="78"/>
      <c r="F11" s="78"/>
    </row>
    <row r="12" spans="1:6" ht="15" customHeight="1" x14ac:dyDescent="0.25">
      <c r="B12" s="78"/>
      <c r="C12" s="78"/>
      <c r="D12" s="78"/>
      <c r="E12" s="78"/>
      <c r="F12" s="78"/>
    </row>
    <row r="13" spans="1:6" ht="15" customHeight="1" x14ac:dyDescent="0.25">
      <c r="B13" s="78"/>
      <c r="C13" s="78"/>
      <c r="D13" s="78"/>
      <c r="E13" s="78"/>
      <c r="F13" s="78"/>
    </row>
    <row r="14" spans="1:6" ht="15" customHeight="1" x14ac:dyDescent="0.25">
      <c r="B14" s="78"/>
      <c r="C14" s="78"/>
      <c r="D14" s="78"/>
      <c r="E14" s="78"/>
      <c r="F14" s="78"/>
    </row>
    <row r="15" spans="1:6" ht="15" customHeight="1" x14ac:dyDescent="0.25">
      <c r="B15" s="78"/>
      <c r="C15" s="78"/>
      <c r="D15" s="78"/>
      <c r="E15" s="78"/>
      <c r="F15" s="78"/>
    </row>
    <row r="16" spans="1:6" ht="15" customHeight="1" x14ac:dyDescent="0.25">
      <c r="B16" s="78"/>
      <c r="C16" s="78"/>
      <c r="D16" s="78"/>
      <c r="E16" s="78"/>
      <c r="F16" s="78"/>
    </row>
    <row r="17" spans="2:6" ht="15" customHeight="1" x14ac:dyDescent="0.25">
      <c r="B17" s="78"/>
      <c r="C17" s="78"/>
      <c r="D17" s="78"/>
      <c r="E17" s="78"/>
      <c r="F17" s="78"/>
    </row>
    <row r="18" spans="2:6" ht="15" customHeight="1" x14ac:dyDescent="0.25">
      <c r="B18" s="78"/>
      <c r="C18" s="78"/>
      <c r="D18" s="78"/>
      <c r="E18" s="78"/>
      <c r="F18" s="78"/>
    </row>
    <row r="19" spans="2:6" ht="15.75" thickBot="1" x14ac:dyDescent="0.3"/>
    <row r="20" spans="2:6" ht="18" thickBot="1" x14ac:dyDescent="0.3">
      <c r="B20" s="7" t="s">
        <v>10</v>
      </c>
      <c r="C20" s="9" t="s">
        <v>32</v>
      </c>
      <c r="D20" s="9" t="s">
        <v>33</v>
      </c>
      <c r="E20" s="9" t="s">
        <v>34</v>
      </c>
      <c r="F20" s="9" t="s">
        <v>38</v>
      </c>
    </row>
    <row r="21" spans="2:6" ht="18" thickBot="1" x14ac:dyDescent="0.3">
      <c r="B21" s="8">
        <v>1</v>
      </c>
      <c r="C21" s="11" t="s">
        <v>40</v>
      </c>
      <c r="D21" s="12" t="e">
        <f>+_xlfn.XLOOKUP(_xlfn.CONCAT("Unidad ",$A$4,"-",B21),cronograma!#REF!,cronograma!$J$19:$J$34,"-",0,1)</f>
        <v>#REF!</v>
      </c>
      <c r="E21" s="12" t="e">
        <f>+_xlfn.XLOOKUP(_xlfn.CONCAT("Unidad ",$A$4,"-",B21),cronograma!#REF!,cronograma!$K$19:$K$34,"-",0,1)</f>
        <v>#REF!</v>
      </c>
      <c r="F21" s="13">
        <v>0</v>
      </c>
    </row>
    <row r="23" spans="2:6" ht="15" customHeight="1" x14ac:dyDescent="0.25">
      <c r="B23" s="116" t="s">
        <v>44</v>
      </c>
      <c r="C23" s="116"/>
      <c r="D23" s="116"/>
      <c r="E23" s="116"/>
      <c r="F23" s="116"/>
    </row>
    <row r="24" spans="2:6" x14ac:dyDescent="0.25">
      <c r="B24" s="116"/>
      <c r="C24" s="116"/>
      <c r="D24" s="116"/>
      <c r="E24" s="116"/>
      <c r="F24" s="116"/>
    </row>
    <row r="25" spans="2:6" x14ac:dyDescent="0.25">
      <c r="B25" s="116"/>
      <c r="C25" s="116"/>
      <c r="D25" s="116"/>
      <c r="E25" s="116"/>
      <c r="F25" s="116"/>
    </row>
    <row r="26" spans="2:6" x14ac:dyDescent="0.25">
      <c r="B26" s="116"/>
      <c r="C26" s="116"/>
      <c r="D26" s="116"/>
      <c r="E26" s="116"/>
      <c r="F26" s="116"/>
    </row>
    <row r="27" spans="2:6" x14ac:dyDescent="0.25">
      <c r="B27" s="116"/>
      <c r="C27" s="116"/>
      <c r="D27" s="116"/>
      <c r="E27" s="116"/>
      <c r="F27" s="116"/>
    </row>
  </sheetData>
  <mergeCells count="5">
    <mergeCell ref="B3:F3"/>
    <mergeCell ref="B4:F4"/>
    <mergeCell ref="B5:F5"/>
    <mergeCell ref="B23:F27"/>
    <mergeCell ref="B7:F18"/>
  </mergeCells>
  <dataValidations disablePrompts="1" count="1">
    <dataValidation type="list" allowBlank="1" showInputMessage="1" showErrorMessage="1" sqref="A4" xr:uid="{A9631EFD-05AD-4D00-8FD2-7AFB88484D88}">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6C00-930E-436F-8DCF-84C57EDD19B1}">
  <sheetPr codeName="Hoja9">
    <tabColor theme="7" tint="0.59999389629810485"/>
  </sheetPr>
  <dimension ref="A3:F27"/>
  <sheetViews>
    <sheetView view="pageLayout" zoomScale="85" zoomScaleNormal="100" zoomScalePageLayoutView="85" workbookViewId="0">
      <selection activeCell="E21" sqref="E21"/>
    </sheetView>
  </sheetViews>
  <sheetFormatPr baseColWidth="10" defaultColWidth="11.5703125" defaultRowHeight="15" x14ac:dyDescent="0.25"/>
  <cols>
    <col min="1" max="1" width="4.140625" customWidth="1"/>
    <col min="2" max="2" width="5.28515625" customWidth="1"/>
    <col min="3" max="3" width="49" customWidth="1"/>
    <col min="4" max="6" width="11" customWidth="1"/>
  </cols>
  <sheetData>
    <row r="3" spans="1:6" ht="21.75" customHeight="1" x14ac:dyDescent="0.25">
      <c r="B3" s="75" t="str">
        <f>GDcronog!B3</f>
        <v>Analítica de Big Data</v>
      </c>
      <c r="C3" s="75"/>
      <c r="D3" s="75"/>
      <c r="E3" s="75"/>
      <c r="F3" s="75"/>
    </row>
    <row r="4" spans="1:6" ht="18.75" x14ac:dyDescent="0.25">
      <c r="A4" s="16">
        <v>2</v>
      </c>
      <c r="B4" s="117" t="str">
        <f>+_xlfn.CONCAT("Unidad ",A4,": ",_xlfn.XLOOKUP(_xlfn.CONCAT("Unidad ",A4),Tabla5[Unidad],Tabla5[Nombre de la unidad],"",0,1))</f>
        <v>Unidad 2: Exploración y visualización datos en Big Data</v>
      </c>
      <c r="C4" s="117"/>
      <c r="D4" s="117"/>
      <c r="E4" s="117"/>
      <c r="F4" s="117"/>
    </row>
    <row r="5" spans="1:6" ht="15" customHeight="1" x14ac:dyDescent="0.25">
      <c r="B5" s="77" t="str">
        <f>+_xlfn.CONCAT("Descripción de la actividad ",A4,".1")</f>
        <v>Descripción de la actividad 2.1</v>
      </c>
      <c r="C5" s="77"/>
      <c r="D5" s="77"/>
      <c r="E5" s="77"/>
      <c r="F5" s="77"/>
    </row>
    <row r="6" spans="1:6" ht="15" customHeight="1" x14ac:dyDescent="0.25">
      <c r="B6" s="15"/>
      <c r="C6" s="15"/>
      <c r="D6" s="15"/>
      <c r="E6" s="15"/>
      <c r="F6" s="15"/>
    </row>
    <row r="7" spans="1:6" ht="15.75" customHeight="1" x14ac:dyDescent="0.25">
      <c r="B7" s="78" t="s">
        <v>45</v>
      </c>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s="78"/>
      <c r="C10" s="78"/>
      <c r="D10" s="78"/>
      <c r="E10" s="78"/>
      <c r="F10" s="78"/>
    </row>
    <row r="11" spans="1:6" ht="15" customHeight="1" x14ac:dyDescent="0.25">
      <c r="B11" s="78"/>
      <c r="C11" s="78"/>
      <c r="D11" s="78"/>
      <c r="E11" s="78"/>
      <c r="F11" s="78"/>
    </row>
    <row r="12" spans="1:6" ht="15" customHeight="1" x14ac:dyDescent="0.25">
      <c r="B12" s="78"/>
      <c r="C12" s="78"/>
      <c r="D12" s="78"/>
      <c r="E12" s="78"/>
      <c r="F12" s="78"/>
    </row>
    <row r="13" spans="1:6" ht="15" customHeight="1" x14ac:dyDescent="0.25">
      <c r="B13" s="78"/>
      <c r="C13" s="78"/>
      <c r="D13" s="78"/>
      <c r="E13" s="78"/>
      <c r="F13" s="78"/>
    </row>
    <row r="14" spans="1:6" ht="15" customHeight="1" x14ac:dyDescent="0.25">
      <c r="B14" s="78"/>
      <c r="C14" s="78"/>
      <c r="D14" s="78"/>
      <c r="E14" s="78"/>
      <c r="F14" s="78"/>
    </row>
    <row r="15" spans="1:6" ht="15" customHeight="1" x14ac:dyDescent="0.25">
      <c r="B15" s="78"/>
      <c r="C15" s="78"/>
      <c r="D15" s="78"/>
      <c r="E15" s="78"/>
      <c r="F15" s="78"/>
    </row>
    <row r="16" spans="1:6" ht="15" customHeight="1" x14ac:dyDescent="0.25">
      <c r="B16" s="78"/>
      <c r="C16" s="78"/>
      <c r="D16" s="78"/>
      <c r="E16" s="78"/>
      <c r="F16" s="78"/>
    </row>
    <row r="17" spans="2:6" ht="15" customHeight="1" x14ac:dyDescent="0.25">
      <c r="B17" s="78"/>
      <c r="C17" s="78"/>
      <c r="D17" s="78"/>
      <c r="E17" s="78"/>
      <c r="F17" s="78"/>
    </row>
    <row r="18" spans="2:6" ht="15" customHeight="1" x14ac:dyDescent="0.25">
      <c r="B18" s="78"/>
      <c r="C18" s="78"/>
      <c r="D18" s="78"/>
      <c r="E18" s="78"/>
      <c r="F18" s="78"/>
    </row>
    <row r="19" spans="2:6" ht="15.75" thickBot="1" x14ac:dyDescent="0.3"/>
    <row r="20" spans="2:6" ht="18" thickBot="1" x14ac:dyDescent="0.3">
      <c r="B20" s="7" t="s">
        <v>10</v>
      </c>
      <c r="C20" s="9" t="s">
        <v>32</v>
      </c>
      <c r="D20" s="9" t="s">
        <v>33</v>
      </c>
      <c r="E20" s="9" t="s">
        <v>34</v>
      </c>
      <c r="F20" s="9" t="s">
        <v>38</v>
      </c>
    </row>
    <row r="21" spans="2:6" ht="18" thickBot="1" x14ac:dyDescent="0.3">
      <c r="B21" s="8">
        <v>1</v>
      </c>
      <c r="C21" s="11" t="s">
        <v>40</v>
      </c>
      <c r="D21" s="12" t="e">
        <f>+_xlfn.XLOOKUP(_xlfn.CONCAT("Unidad ",$A$4,"-",B21),cronograma!#REF!,cronograma!$J$19:$J$34,"-",0,1)</f>
        <v>#REF!</v>
      </c>
      <c r="E21" s="12" t="e">
        <f>+_xlfn.XLOOKUP(_xlfn.CONCAT("Unidad ",$A$4,"-",B21),cronograma!#REF!,cronograma!$K$19:$K$34,"-",0,1)</f>
        <v>#REF!</v>
      </c>
      <c r="F21" s="13">
        <v>0</v>
      </c>
    </row>
    <row r="23" spans="2:6" ht="15" customHeight="1" x14ac:dyDescent="0.25">
      <c r="B23" s="116" t="s">
        <v>44</v>
      </c>
      <c r="C23" s="116"/>
      <c r="D23" s="116"/>
      <c r="E23" s="116"/>
      <c r="F23" s="116"/>
    </row>
    <row r="24" spans="2:6" x14ac:dyDescent="0.25">
      <c r="B24" s="116"/>
      <c r="C24" s="116"/>
      <c r="D24" s="116"/>
      <c r="E24" s="116"/>
      <c r="F24" s="116"/>
    </row>
    <row r="25" spans="2:6" x14ac:dyDescent="0.25">
      <c r="B25" s="116"/>
      <c r="C25" s="116"/>
      <c r="D25" s="116"/>
      <c r="E25" s="116"/>
      <c r="F25" s="116"/>
    </row>
    <row r="26" spans="2:6" x14ac:dyDescent="0.25">
      <c r="B26" s="116"/>
      <c r="C26" s="116"/>
      <c r="D26" s="116"/>
      <c r="E26" s="116"/>
      <c r="F26" s="116"/>
    </row>
    <row r="27" spans="2:6" x14ac:dyDescent="0.25">
      <c r="B27" s="116"/>
      <c r="C27" s="116"/>
      <c r="D27" s="116"/>
      <c r="E27" s="116"/>
      <c r="F27" s="116"/>
    </row>
  </sheetData>
  <mergeCells count="5">
    <mergeCell ref="B3:F3"/>
    <mergeCell ref="B4:F4"/>
    <mergeCell ref="B5:F5"/>
    <mergeCell ref="B7:F18"/>
    <mergeCell ref="B23:F27"/>
  </mergeCells>
  <dataValidations count="1">
    <dataValidation type="list" allowBlank="1" showInputMessage="1" showErrorMessage="1" sqref="A4" xr:uid="{24ADBC84-4026-4E1C-A9CC-8C892BC4C68D}">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3601-6F8B-4C5C-91A8-ACD6C636792C}">
  <sheetPr codeName="Hoja10">
    <tabColor theme="7" tint="0.59999389629810485"/>
  </sheetPr>
  <dimension ref="A3:F27"/>
  <sheetViews>
    <sheetView view="pageLayout" zoomScale="85" zoomScaleNormal="100" zoomScalePageLayoutView="85" workbookViewId="0">
      <selection activeCell="B7" sqref="B7:F18"/>
    </sheetView>
  </sheetViews>
  <sheetFormatPr baseColWidth="10" defaultColWidth="11.5703125" defaultRowHeight="15" x14ac:dyDescent="0.25"/>
  <cols>
    <col min="1" max="1" width="4.140625" customWidth="1"/>
    <col min="2" max="2" width="5.28515625" customWidth="1"/>
    <col min="3" max="3" width="49" customWidth="1"/>
    <col min="4" max="6" width="11" customWidth="1"/>
  </cols>
  <sheetData>
    <row r="3" spans="1:6" ht="21.75" customHeight="1" x14ac:dyDescent="0.25">
      <c r="B3" s="75" t="str">
        <f>GDcronog!B3</f>
        <v>Analítica de Big Data</v>
      </c>
      <c r="C3" s="75"/>
      <c r="D3" s="75"/>
      <c r="E3" s="75"/>
      <c r="F3" s="75"/>
    </row>
    <row r="4" spans="1:6" ht="18.75" x14ac:dyDescent="0.25">
      <c r="A4" s="16">
        <v>3</v>
      </c>
      <c r="B4" s="117" t="str">
        <f>+_xlfn.CONCAT("Unidad ",A4,": ",_xlfn.XLOOKUP(_xlfn.CONCAT("Unidad ",A4),Tabla5[Unidad],Tabla5[Nombre de la unidad],"",0,1))</f>
        <v>Unidad 3: Machine Learning para Big Data</v>
      </c>
      <c r="C4" s="117"/>
      <c r="D4" s="117"/>
      <c r="E4" s="117"/>
      <c r="F4" s="117"/>
    </row>
    <row r="5" spans="1:6" ht="15" customHeight="1" x14ac:dyDescent="0.25">
      <c r="B5" s="77" t="str">
        <f>+_xlfn.CONCAT("Descripción de la actividad ",A4,".1")</f>
        <v>Descripción de la actividad 3.1</v>
      </c>
      <c r="C5" s="77"/>
      <c r="D5" s="77"/>
      <c r="E5" s="77"/>
      <c r="F5" s="77"/>
    </row>
    <row r="6" spans="1:6" ht="15" customHeight="1" x14ac:dyDescent="0.25">
      <c r="B6" s="15"/>
      <c r="C6" s="15"/>
      <c r="D6" s="15"/>
      <c r="E6" s="15"/>
      <c r="F6" s="15"/>
    </row>
    <row r="7" spans="1:6" ht="15.75" customHeight="1" x14ac:dyDescent="0.25">
      <c r="B7" s="78" t="s">
        <v>45</v>
      </c>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s="78"/>
      <c r="C10" s="78"/>
      <c r="D10" s="78"/>
      <c r="E10" s="78"/>
      <c r="F10" s="78"/>
    </row>
    <row r="11" spans="1:6" ht="15" customHeight="1" x14ac:dyDescent="0.25">
      <c r="B11" s="78"/>
      <c r="C11" s="78"/>
      <c r="D11" s="78"/>
      <c r="E11" s="78"/>
      <c r="F11" s="78"/>
    </row>
    <row r="12" spans="1:6" ht="15" customHeight="1" x14ac:dyDescent="0.25">
      <c r="B12" s="78"/>
      <c r="C12" s="78"/>
      <c r="D12" s="78"/>
      <c r="E12" s="78"/>
      <c r="F12" s="78"/>
    </row>
    <row r="13" spans="1:6" ht="15" customHeight="1" x14ac:dyDescent="0.25">
      <c r="B13" s="78"/>
      <c r="C13" s="78"/>
      <c r="D13" s="78"/>
      <c r="E13" s="78"/>
      <c r="F13" s="78"/>
    </row>
    <row r="14" spans="1:6" ht="15" customHeight="1" x14ac:dyDescent="0.25">
      <c r="B14" s="78"/>
      <c r="C14" s="78"/>
      <c r="D14" s="78"/>
      <c r="E14" s="78"/>
      <c r="F14" s="78"/>
    </row>
    <row r="15" spans="1:6" ht="15" customHeight="1" x14ac:dyDescent="0.25">
      <c r="B15" s="78"/>
      <c r="C15" s="78"/>
      <c r="D15" s="78"/>
      <c r="E15" s="78"/>
      <c r="F15" s="78"/>
    </row>
    <row r="16" spans="1:6" ht="15" customHeight="1" x14ac:dyDescent="0.25">
      <c r="B16" s="78"/>
      <c r="C16" s="78"/>
      <c r="D16" s="78"/>
      <c r="E16" s="78"/>
      <c r="F16" s="78"/>
    </row>
    <row r="17" spans="2:6" ht="15" customHeight="1" x14ac:dyDescent="0.25">
      <c r="B17" s="78"/>
      <c r="C17" s="78"/>
      <c r="D17" s="78"/>
      <c r="E17" s="78"/>
      <c r="F17" s="78"/>
    </row>
    <row r="18" spans="2:6" ht="15" customHeight="1" x14ac:dyDescent="0.25">
      <c r="B18" s="78"/>
      <c r="C18" s="78"/>
      <c r="D18" s="78"/>
      <c r="E18" s="78"/>
      <c r="F18" s="78"/>
    </row>
    <row r="19" spans="2:6" ht="15.75" thickBot="1" x14ac:dyDescent="0.3"/>
    <row r="20" spans="2:6" ht="18" thickBot="1" x14ac:dyDescent="0.3">
      <c r="B20" s="7" t="s">
        <v>10</v>
      </c>
      <c r="C20" s="9" t="s">
        <v>32</v>
      </c>
      <c r="D20" s="9" t="s">
        <v>33</v>
      </c>
      <c r="E20" s="9" t="s">
        <v>34</v>
      </c>
      <c r="F20" s="9" t="s">
        <v>38</v>
      </c>
    </row>
    <row r="21" spans="2:6" ht="18" thickBot="1" x14ac:dyDescent="0.3">
      <c r="B21" s="8">
        <v>1</v>
      </c>
      <c r="C21" s="11" t="s">
        <v>40</v>
      </c>
      <c r="D21" s="12" t="e">
        <f>+_xlfn.XLOOKUP(_xlfn.CONCAT("Unidad ",$A$4,"-",B21),cronograma!#REF!,cronograma!$J$19:$J$34,"-",0,1)</f>
        <v>#REF!</v>
      </c>
      <c r="E21" s="12" t="e">
        <f>+_xlfn.XLOOKUP(_xlfn.CONCAT("Unidad ",$A$4,"-",B21),cronograma!#REF!,cronograma!$K$19:$K$34,"-",0,1)</f>
        <v>#REF!</v>
      </c>
      <c r="F21" s="13">
        <v>0</v>
      </c>
    </row>
    <row r="23" spans="2:6" ht="15" customHeight="1" x14ac:dyDescent="0.25">
      <c r="B23" s="116" t="s">
        <v>44</v>
      </c>
      <c r="C23" s="116"/>
      <c r="D23" s="116"/>
      <c r="E23" s="116"/>
      <c r="F23" s="116"/>
    </row>
    <row r="24" spans="2:6" x14ac:dyDescent="0.25">
      <c r="B24" s="116"/>
      <c r="C24" s="116"/>
      <c r="D24" s="116"/>
      <c r="E24" s="116"/>
      <c r="F24" s="116"/>
    </row>
    <row r="25" spans="2:6" x14ac:dyDescent="0.25">
      <c r="B25" s="116"/>
      <c r="C25" s="116"/>
      <c r="D25" s="116"/>
      <c r="E25" s="116"/>
      <c r="F25" s="116"/>
    </row>
    <row r="26" spans="2:6" x14ac:dyDescent="0.25">
      <c r="B26" s="116"/>
      <c r="C26" s="116"/>
      <c r="D26" s="116"/>
      <c r="E26" s="116"/>
      <c r="F26" s="116"/>
    </row>
    <row r="27" spans="2:6" x14ac:dyDescent="0.25">
      <c r="B27" s="116"/>
      <c r="C27" s="116"/>
      <c r="D27" s="116"/>
      <c r="E27" s="116"/>
      <c r="F27" s="116"/>
    </row>
  </sheetData>
  <mergeCells count="5">
    <mergeCell ref="B3:F3"/>
    <mergeCell ref="B4:F4"/>
    <mergeCell ref="B5:F5"/>
    <mergeCell ref="B7:F18"/>
    <mergeCell ref="B23:F27"/>
  </mergeCells>
  <dataValidations count="1">
    <dataValidation type="list" allowBlank="1" showInputMessage="1" showErrorMessage="1" sqref="A4" xr:uid="{DE1F0073-10F8-4BF7-90D8-7F0C6F87F93D}">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DAFC-2E65-4DAA-8E74-308CA655B7A3}">
  <sheetPr codeName="Hoja11">
    <tabColor theme="7" tint="0.59999389629810485"/>
  </sheetPr>
  <dimension ref="A3:F27"/>
  <sheetViews>
    <sheetView view="pageLayout" zoomScale="85" zoomScaleNormal="100" zoomScalePageLayoutView="85" workbookViewId="0">
      <selection activeCell="D21" sqref="D21"/>
    </sheetView>
  </sheetViews>
  <sheetFormatPr baseColWidth="10" defaultColWidth="11.5703125" defaultRowHeight="15" x14ac:dyDescent="0.25"/>
  <cols>
    <col min="1" max="1" width="4.140625" customWidth="1"/>
    <col min="2" max="2" width="5.28515625" customWidth="1"/>
    <col min="3" max="3" width="49" customWidth="1"/>
    <col min="4" max="6" width="11" customWidth="1"/>
  </cols>
  <sheetData>
    <row r="3" spans="1:6" ht="21.75" customHeight="1" x14ac:dyDescent="0.25">
      <c r="B3" s="75" t="str">
        <f>GDcronog!B3</f>
        <v>Analítica de Big Data</v>
      </c>
      <c r="C3" s="75"/>
      <c r="D3" s="75"/>
      <c r="E3" s="75"/>
      <c r="F3" s="75"/>
    </row>
    <row r="4" spans="1:6" ht="18.75" x14ac:dyDescent="0.25">
      <c r="A4" s="16">
        <v>4</v>
      </c>
      <c r="B4" s="117" t="str">
        <f>+_xlfn.CONCAT("Unidad ",A4,": ",_xlfn.XLOOKUP(_xlfn.CONCAT("Unidad ",A4),Tabla5[Unidad],Tabla5[Nombre de la unidad],"",0,1))</f>
        <v>Unidad 4: Interpretación de los resultados y modelos estadísticos en Big Data</v>
      </c>
      <c r="C4" s="117"/>
      <c r="D4" s="117"/>
      <c r="E4" s="117"/>
      <c r="F4" s="117"/>
    </row>
    <row r="5" spans="1:6" ht="15" customHeight="1" x14ac:dyDescent="0.25">
      <c r="B5" s="77" t="str">
        <f>+_xlfn.CONCAT("Descripción de la actividad ",A4,".1")</f>
        <v>Descripción de la actividad 4.1</v>
      </c>
      <c r="C5" s="77"/>
      <c r="D5" s="77"/>
      <c r="E5" s="77"/>
      <c r="F5" s="77"/>
    </row>
    <row r="6" spans="1:6" ht="15" customHeight="1" x14ac:dyDescent="0.25">
      <c r="B6" s="15"/>
      <c r="C6" s="15"/>
      <c r="D6" s="15"/>
      <c r="E6" s="15"/>
      <c r="F6" s="15"/>
    </row>
    <row r="7" spans="1:6" ht="15.75" customHeight="1" x14ac:dyDescent="0.25">
      <c r="B7" s="78" t="s">
        <v>45</v>
      </c>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s="78"/>
      <c r="C10" s="78"/>
      <c r="D10" s="78"/>
      <c r="E10" s="78"/>
      <c r="F10" s="78"/>
    </row>
    <row r="11" spans="1:6" ht="15" customHeight="1" x14ac:dyDescent="0.25">
      <c r="B11" s="78"/>
      <c r="C11" s="78"/>
      <c r="D11" s="78"/>
      <c r="E11" s="78"/>
      <c r="F11" s="78"/>
    </row>
    <row r="12" spans="1:6" ht="15" customHeight="1" x14ac:dyDescent="0.25">
      <c r="B12" s="78"/>
      <c r="C12" s="78"/>
      <c r="D12" s="78"/>
      <c r="E12" s="78"/>
      <c r="F12" s="78"/>
    </row>
    <row r="13" spans="1:6" ht="15" customHeight="1" x14ac:dyDescent="0.25">
      <c r="B13" s="78"/>
      <c r="C13" s="78"/>
      <c r="D13" s="78"/>
      <c r="E13" s="78"/>
      <c r="F13" s="78"/>
    </row>
    <row r="14" spans="1:6" ht="15" customHeight="1" x14ac:dyDescent="0.25">
      <c r="B14" s="78"/>
      <c r="C14" s="78"/>
      <c r="D14" s="78"/>
      <c r="E14" s="78"/>
      <c r="F14" s="78"/>
    </row>
    <row r="15" spans="1:6" ht="15" customHeight="1" x14ac:dyDescent="0.25">
      <c r="B15" s="78"/>
      <c r="C15" s="78"/>
      <c r="D15" s="78"/>
      <c r="E15" s="78"/>
      <c r="F15" s="78"/>
    </row>
    <row r="16" spans="1:6" ht="15" customHeight="1" x14ac:dyDescent="0.25">
      <c r="B16" s="78"/>
      <c r="C16" s="78"/>
      <c r="D16" s="78"/>
      <c r="E16" s="78"/>
      <c r="F16" s="78"/>
    </row>
    <row r="17" spans="2:6" ht="15" customHeight="1" x14ac:dyDescent="0.25">
      <c r="B17" s="78"/>
      <c r="C17" s="78"/>
      <c r="D17" s="78"/>
      <c r="E17" s="78"/>
      <c r="F17" s="78"/>
    </row>
    <row r="18" spans="2:6" ht="15" customHeight="1" x14ac:dyDescent="0.25">
      <c r="B18" s="78"/>
      <c r="C18" s="78"/>
      <c r="D18" s="78"/>
      <c r="E18" s="78"/>
      <c r="F18" s="78"/>
    </row>
    <row r="19" spans="2:6" ht="15.75" thickBot="1" x14ac:dyDescent="0.3"/>
    <row r="20" spans="2:6" ht="18" thickBot="1" x14ac:dyDescent="0.3">
      <c r="B20" s="7" t="s">
        <v>10</v>
      </c>
      <c r="C20" s="9" t="s">
        <v>32</v>
      </c>
      <c r="D20" s="9" t="s">
        <v>33</v>
      </c>
      <c r="E20" s="9" t="s">
        <v>34</v>
      </c>
      <c r="F20" s="9" t="s">
        <v>38</v>
      </c>
    </row>
    <row r="21" spans="2:6" ht="18" thickBot="1" x14ac:dyDescent="0.3">
      <c r="B21" s="8">
        <v>1</v>
      </c>
      <c r="C21" s="11" t="s">
        <v>40</v>
      </c>
      <c r="D21" s="12" t="e">
        <f>+_xlfn.XLOOKUP(_xlfn.CONCAT("Unidad ",$A$4,"-",B21),cronograma!#REF!,cronograma!$J$19:$J$34,"-",0,1)</f>
        <v>#REF!</v>
      </c>
      <c r="E21" s="12" t="e">
        <f>+_xlfn.XLOOKUP(_xlfn.CONCAT("Unidad ",$A$4,"-",B21),cronograma!#REF!,cronograma!$K$19:$K$34,"-",0,1)</f>
        <v>#REF!</v>
      </c>
      <c r="F21" s="13">
        <v>0</v>
      </c>
    </row>
    <row r="23" spans="2:6" ht="15" customHeight="1" x14ac:dyDescent="0.25">
      <c r="B23" s="116" t="s">
        <v>44</v>
      </c>
      <c r="C23" s="116"/>
      <c r="D23" s="116"/>
      <c r="E23" s="116"/>
      <c r="F23" s="116"/>
    </row>
    <row r="24" spans="2:6" x14ac:dyDescent="0.25">
      <c r="B24" s="116"/>
      <c r="C24" s="116"/>
      <c r="D24" s="116"/>
      <c r="E24" s="116"/>
      <c r="F24" s="116"/>
    </row>
    <row r="25" spans="2:6" x14ac:dyDescent="0.25">
      <c r="B25" s="116"/>
      <c r="C25" s="116"/>
      <c r="D25" s="116"/>
      <c r="E25" s="116"/>
      <c r="F25" s="116"/>
    </row>
    <row r="26" spans="2:6" x14ac:dyDescent="0.25">
      <c r="B26" s="116"/>
      <c r="C26" s="116"/>
      <c r="D26" s="116"/>
      <c r="E26" s="116"/>
      <c r="F26" s="116"/>
    </row>
    <row r="27" spans="2:6" x14ac:dyDescent="0.25">
      <c r="B27" s="116"/>
      <c r="C27" s="116"/>
      <c r="D27" s="116"/>
      <c r="E27" s="116"/>
      <c r="F27" s="116"/>
    </row>
  </sheetData>
  <mergeCells count="5">
    <mergeCell ref="B3:F3"/>
    <mergeCell ref="B4:F4"/>
    <mergeCell ref="B5:F5"/>
    <mergeCell ref="B7:F18"/>
    <mergeCell ref="B23:F27"/>
  </mergeCells>
  <dataValidations count="1">
    <dataValidation type="list" allowBlank="1" showInputMessage="1" showErrorMessage="1" sqref="A4" xr:uid="{77AE9305-9ECF-492C-9526-DC1233E2B49B}">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8643-2442-4137-B412-D4C92698CC73}">
  <sheetPr codeName="Hoja13">
    <tabColor theme="9" tint="0.59999389629810485"/>
  </sheetPr>
  <dimension ref="A3:G36"/>
  <sheetViews>
    <sheetView view="pageLayout" zoomScale="85" zoomScaleNormal="100" zoomScalePageLayoutView="85" workbookViewId="0">
      <selection activeCell="B7" sqref="B7:G23"/>
    </sheetView>
  </sheetViews>
  <sheetFormatPr baseColWidth="10" defaultColWidth="11.5703125" defaultRowHeight="15" x14ac:dyDescent="0.25"/>
  <cols>
    <col min="1" max="1" width="4.7109375" customWidth="1"/>
    <col min="2" max="2" width="3.7109375" customWidth="1"/>
    <col min="3" max="7" width="17" customWidth="1"/>
  </cols>
  <sheetData>
    <row r="3" spans="1:7" ht="21.75" customHeight="1" x14ac:dyDescent="0.25">
      <c r="B3" s="75" t="s">
        <v>29</v>
      </c>
      <c r="C3" s="75"/>
      <c r="D3" s="75"/>
      <c r="E3" s="75"/>
      <c r="F3" s="75"/>
      <c r="G3" s="75"/>
    </row>
    <row r="4" spans="1:7" ht="18.75" x14ac:dyDescent="0.25">
      <c r="A4" s="16">
        <v>1</v>
      </c>
      <c r="B4" s="117" t="str">
        <f>+_xlfn.CONCAT("Unidad ",A4,": ",_xlfn.XLOOKUP(_xlfn.CONCAT("Unidad ",A4),Tabla5[Unidad],Tabla5[Nombre de la unidad],"",0,1))</f>
        <v>Unidad 1: Manejo de datos en Big Data – Introducciones conceptuales</v>
      </c>
      <c r="C4" s="117"/>
      <c r="D4" s="117"/>
      <c r="E4" s="117"/>
      <c r="F4" s="117"/>
      <c r="G4" s="117"/>
    </row>
    <row r="5" spans="1:7" ht="15" customHeight="1" x14ac:dyDescent="0.25">
      <c r="B5" s="77" t="str">
        <f>+_xlfn.CONCAT("Descripción de las actividades ",A4,".2")</f>
        <v>Descripción de las actividades 1.2</v>
      </c>
      <c r="C5" s="77"/>
      <c r="D5" s="77"/>
      <c r="E5" s="77"/>
      <c r="F5" s="77"/>
      <c r="G5" s="77"/>
    </row>
    <row r="6" spans="1:7" ht="15" customHeight="1" x14ac:dyDescent="0.25">
      <c r="C6" s="15"/>
      <c r="D6" s="15"/>
      <c r="E6" s="15"/>
      <c r="F6" s="15"/>
      <c r="G6" s="15"/>
    </row>
    <row r="7" spans="1:7" ht="15.75" customHeight="1" x14ac:dyDescent="0.25">
      <c r="B7" s="78" t="s">
        <v>47</v>
      </c>
      <c r="C7" s="78"/>
      <c r="D7" s="78"/>
      <c r="E7" s="78"/>
      <c r="F7" s="78"/>
      <c r="G7" s="78"/>
    </row>
    <row r="8" spans="1:7" ht="15" customHeight="1" x14ac:dyDescent="0.25">
      <c r="B8" s="78"/>
      <c r="C8" s="78"/>
      <c r="D8" s="78"/>
      <c r="E8" s="78"/>
      <c r="F8" s="78"/>
      <c r="G8" s="78"/>
    </row>
    <row r="9" spans="1:7" ht="15" customHeight="1" x14ac:dyDescent="0.25">
      <c r="B9" s="78"/>
      <c r="C9" s="78"/>
      <c r="D9" s="78"/>
      <c r="E9" s="78"/>
      <c r="F9" s="78"/>
      <c r="G9" s="78"/>
    </row>
    <row r="10" spans="1:7" ht="15" customHeight="1" x14ac:dyDescent="0.25">
      <c r="B10" s="78"/>
      <c r="C10" s="78"/>
      <c r="D10" s="78"/>
      <c r="E10" s="78"/>
      <c r="F10" s="78"/>
      <c r="G10" s="78"/>
    </row>
    <row r="11" spans="1:7" ht="15" customHeight="1" x14ac:dyDescent="0.25">
      <c r="B11" s="78"/>
      <c r="C11" s="78"/>
      <c r="D11" s="78"/>
      <c r="E11" s="78"/>
      <c r="F11" s="78"/>
      <c r="G11" s="78"/>
    </row>
    <row r="12" spans="1:7" ht="15" customHeight="1" x14ac:dyDescent="0.25">
      <c r="B12" s="78"/>
      <c r="C12" s="78"/>
      <c r="D12" s="78"/>
      <c r="E12" s="78"/>
      <c r="F12" s="78"/>
      <c r="G12" s="78"/>
    </row>
    <row r="13" spans="1:7" ht="15" customHeight="1" x14ac:dyDescent="0.25">
      <c r="B13" s="78"/>
      <c r="C13" s="78"/>
      <c r="D13" s="78"/>
      <c r="E13" s="78"/>
      <c r="F13" s="78"/>
      <c r="G13" s="78"/>
    </row>
    <row r="14" spans="1:7" ht="15" customHeight="1" x14ac:dyDescent="0.25">
      <c r="B14" s="78"/>
      <c r="C14" s="78"/>
      <c r="D14" s="78"/>
      <c r="E14" s="78"/>
      <c r="F14" s="78"/>
      <c r="G14" s="78"/>
    </row>
    <row r="15" spans="1:7" ht="15" customHeight="1" x14ac:dyDescent="0.25">
      <c r="B15" s="78"/>
      <c r="C15" s="78"/>
      <c r="D15" s="78"/>
      <c r="E15" s="78"/>
      <c r="F15" s="78"/>
      <c r="G15" s="78"/>
    </row>
    <row r="16" spans="1:7" ht="15" customHeight="1" x14ac:dyDescent="0.25">
      <c r="B16" s="78"/>
      <c r="C16" s="78"/>
      <c r="D16" s="78"/>
      <c r="E16" s="78"/>
      <c r="F16" s="78"/>
      <c r="G16" s="78"/>
    </row>
    <row r="17" spans="2:7" ht="15" customHeight="1" x14ac:dyDescent="0.25">
      <c r="B17" s="78"/>
      <c r="C17" s="78"/>
      <c r="D17" s="78"/>
      <c r="E17" s="78"/>
      <c r="F17" s="78"/>
      <c r="G17" s="78"/>
    </row>
    <row r="18" spans="2:7" ht="15" customHeight="1" x14ac:dyDescent="0.25">
      <c r="B18" s="78"/>
      <c r="C18" s="78"/>
      <c r="D18" s="78"/>
      <c r="E18" s="78"/>
      <c r="F18" s="78"/>
      <c r="G18" s="78"/>
    </row>
    <row r="19" spans="2:7" ht="15" customHeight="1" x14ac:dyDescent="0.25">
      <c r="B19" s="78"/>
      <c r="C19" s="78"/>
      <c r="D19" s="78"/>
      <c r="E19" s="78"/>
      <c r="F19" s="78"/>
      <c r="G19" s="78"/>
    </row>
    <row r="20" spans="2:7" ht="15" customHeight="1" x14ac:dyDescent="0.25">
      <c r="B20" s="78"/>
      <c r="C20" s="78"/>
      <c r="D20" s="78"/>
      <c r="E20" s="78"/>
      <c r="F20" s="78"/>
      <c r="G20" s="78"/>
    </row>
    <row r="21" spans="2:7" ht="15" customHeight="1" x14ac:dyDescent="0.25">
      <c r="B21" s="78"/>
      <c r="C21" s="78"/>
      <c r="D21" s="78"/>
      <c r="E21" s="78"/>
      <c r="F21" s="78"/>
      <c r="G21" s="78"/>
    </row>
    <row r="22" spans="2:7" ht="15" customHeight="1" x14ac:dyDescent="0.25">
      <c r="B22" s="78"/>
      <c r="C22" s="78"/>
      <c r="D22" s="78"/>
      <c r="E22" s="78"/>
      <c r="F22" s="78"/>
      <c r="G22" s="78"/>
    </row>
    <row r="23" spans="2:7" ht="15" customHeight="1" x14ac:dyDescent="0.25">
      <c r="B23" s="78"/>
      <c r="C23" s="78"/>
      <c r="D23" s="78"/>
      <c r="E23" s="78"/>
      <c r="F23" s="78"/>
      <c r="G23" s="78"/>
    </row>
    <row r="24" spans="2:7" ht="15" customHeight="1" thickBot="1" x14ac:dyDescent="0.3">
      <c r="C24" s="17"/>
      <c r="D24" s="17"/>
      <c r="E24" s="17"/>
      <c r="F24" s="17"/>
      <c r="G24" s="17"/>
    </row>
    <row r="25" spans="2:7" ht="15" customHeight="1" thickBot="1" x14ac:dyDescent="0.3">
      <c r="B25" s="7" t="s">
        <v>10</v>
      </c>
      <c r="C25" s="120" t="s">
        <v>32</v>
      </c>
      <c r="D25" s="121"/>
      <c r="E25" s="9" t="s">
        <v>33</v>
      </c>
      <c r="F25" s="9" t="s">
        <v>34</v>
      </c>
      <c r="G25" s="9" t="s">
        <v>38</v>
      </c>
    </row>
    <row r="26" spans="2:7" ht="18" thickBot="1" x14ac:dyDescent="0.3">
      <c r="B26" s="8">
        <v>2</v>
      </c>
      <c r="C26" s="122" t="s">
        <v>41</v>
      </c>
      <c r="D26" s="122"/>
      <c r="E26" s="12" t="e">
        <f>+_xlfn.XLOOKUP(_xlfn.CONCAT("Unidad ",$A$4,"-",B26),cronograma!#REF!,cronograma!$J$19:$J$34,"-",0,1)</f>
        <v>#REF!</v>
      </c>
      <c r="F26" s="12" t="e">
        <f>+_xlfn.XLOOKUP(_xlfn.CONCAT("Unidad ",$A$4,"-",B26),cronograma!#REF!,cronograma!$K$19:$K$34,"-",0,1)</f>
        <v>#REF!</v>
      </c>
      <c r="G26" s="13">
        <v>100</v>
      </c>
    </row>
    <row r="28" spans="2:7" x14ac:dyDescent="0.25">
      <c r="B28" t="s">
        <v>46</v>
      </c>
    </row>
    <row r="30" spans="2:7" x14ac:dyDescent="0.25">
      <c r="B30" s="78" t="s">
        <v>51</v>
      </c>
      <c r="C30" s="78"/>
      <c r="D30" s="78"/>
      <c r="E30" s="78"/>
      <c r="F30" s="78"/>
      <c r="G30" s="78"/>
    </row>
    <row r="31" spans="2:7" x14ac:dyDescent="0.25">
      <c r="B31" s="78"/>
      <c r="C31" s="78"/>
      <c r="D31" s="78"/>
      <c r="E31" s="78"/>
      <c r="F31" s="78"/>
      <c r="G31" s="78"/>
    </row>
    <row r="32" spans="2:7" ht="32.25" customHeight="1" x14ac:dyDescent="0.25">
      <c r="B32" s="78"/>
      <c r="C32" s="78"/>
      <c r="D32" s="78"/>
      <c r="E32" s="78"/>
      <c r="F32" s="78"/>
      <c r="G32" s="78"/>
    </row>
    <row r="33" spans="2:7" ht="26.25" customHeight="1" x14ac:dyDescent="0.25">
      <c r="B33" s="78"/>
      <c r="C33" s="78"/>
      <c r="D33" s="78"/>
      <c r="E33" s="78"/>
      <c r="F33" s="78"/>
      <c r="G33" s="78"/>
    </row>
    <row r="34" spans="2:7" ht="26.25" customHeight="1" x14ac:dyDescent="0.25">
      <c r="B34" s="78"/>
      <c r="C34" s="78"/>
      <c r="D34" s="78"/>
      <c r="E34" s="78"/>
      <c r="F34" s="78"/>
      <c r="G34" s="78"/>
    </row>
    <row r="35" spans="2:7" ht="26.25" customHeight="1" x14ac:dyDescent="0.25"/>
    <row r="36" spans="2:7" ht="26.25" customHeight="1" x14ac:dyDescent="0.25"/>
  </sheetData>
  <mergeCells count="7">
    <mergeCell ref="B7:G23"/>
    <mergeCell ref="B3:G3"/>
    <mergeCell ref="B4:G4"/>
    <mergeCell ref="B5:G5"/>
    <mergeCell ref="B30:G34"/>
    <mergeCell ref="C25:D25"/>
    <mergeCell ref="C26:D26"/>
  </mergeCells>
  <dataValidations disablePrompts="1" count="1">
    <dataValidation type="list" allowBlank="1" showInputMessage="1" showErrorMessage="1" sqref="A4" xr:uid="{338369BC-6601-4D24-A980-86F8711FED75}">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8532-98CD-46FB-ABC4-ABA0E9F6B20A}">
  <sheetPr codeName="Hoja14">
    <tabColor theme="9" tint="0.59999389629810485"/>
  </sheetPr>
  <dimension ref="A3:G36"/>
  <sheetViews>
    <sheetView view="pageLayout" topLeftCell="A2" zoomScale="85" zoomScaleNormal="100" zoomScalePageLayoutView="85" workbookViewId="0">
      <selection activeCell="B7" sqref="B7:G23"/>
    </sheetView>
  </sheetViews>
  <sheetFormatPr baseColWidth="10" defaultColWidth="11.5703125" defaultRowHeight="15" x14ac:dyDescent="0.25"/>
  <cols>
    <col min="1" max="1" width="4.7109375" customWidth="1"/>
    <col min="2" max="2" width="3.7109375" customWidth="1"/>
    <col min="3" max="7" width="17" customWidth="1"/>
  </cols>
  <sheetData>
    <row r="3" spans="1:7" ht="21.75" customHeight="1" x14ac:dyDescent="0.25">
      <c r="B3" s="75" t="s">
        <v>29</v>
      </c>
      <c r="C3" s="75"/>
      <c r="D3" s="75"/>
      <c r="E3" s="75"/>
      <c r="F3" s="75"/>
      <c r="G3" s="75"/>
    </row>
    <row r="4" spans="1:7" ht="18.75" x14ac:dyDescent="0.25">
      <c r="A4" s="16">
        <v>2</v>
      </c>
      <c r="B4" s="117" t="str">
        <f>+_xlfn.CONCAT("Unidad ",A4,": ",_xlfn.XLOOKUP(_xlfn.CONCAT("Unidad ",A4),Tabla5[Unidad],Tabla5[Nombre de la unidad],"",0,1))</f>
        <v>Unidad 2: Exploración y visualización datos en Big Data</v>
      </c>
      <c r="C4" s="117"/>
      <c r="D4" s="117"/>
      <c r="E4" s="117"/>
      <c r="F4" s="117"/>
      <c r="G4" s="117"/>
    </row>
    <row r="5" spans="1:7" ht="15" customHeight="1" x14ac:dyDescent="0.25">
      <c r="B5" s="77" t="str">
        <f>+_xlfn.CONCAT("Descripción de las actividades ",A4,".2")</f>
        <v>Descripción de las actividades 2.2</v>
      </c>
      <c r="C5" s="77"/>
      <c r="D5" s="77"/>
      <c r="E5" s="77"/>
      <c r="F5" s="77"/>
      <c r="G5" s="77"/>
    </row>
    <row r="6" spans="1:7" ht="15" customHeight="1" x14ac:dyDescent="0.25">
      <c r="C6" s="15"/>
      <c r="D6" s="15"/>
      <c r="E6" s="15"/>
      <c r="F6" s="15"/>
      <c r="G6" s="15"/>
    </row>
    <row r="7" spans="1:7" ht="15.75" customHeight="1" x14ac:dyDescent="0.25">
      <c r="B7" s="78" t="s">
        <v>47</v>
      </c>
      <c r="C7" s="78"/>
      <c r="D7" s="78"/>
      <c r="E7" s="78"/>
      <c r="F7" s="78"/>
      <c r="G7" s="78"/>
    </row>
    <row r="8" spans="1:7" ht="15" customHeight="1" x14ac:dyDescent="0.25">
      <c r="B8" s="78"/>
      <c r="C8" s="78"/>
      <c r="D8" s="78"/>
      <c r="E8" s="78"/>
      <c r="F8" s="78"/>
      <c r="G8" s="78"/>
    </row>
    <row r="9" spans="1:7" ht="15" customHeight="1" x14ac:dyDescent="0.25">
      <c r="B9" s="78"/>
      <c r="C9" s="78"/>
      <c r="D9" s="78"/>
      <c r="E9" s="78"/>
      <c r="F9" s="78"/>
      <c r="G9" s="78"/>
    </row>
    <row r="10" spans="1:7" ht="15" customHeight="1" x14ac:dyDescent="0.25">
      <c r="B10" s="78"/>
      <c r="C10" s="78"/>
      <c r="D10" s="78"/>
      <c r="E10" s="78"/>
      <c r="F10" s="78"/>
      <c r="G10" s="78"/>
    </row>
    <row r="11" spans="1:7" ht="15" customHeight="1" x14ac:dyDescent="0.25">
      <c r="B11" s="78"/>
      <c r="C11" s="78"/>
      <c r="D11" s="78"/>
      <c r="E11" s="78"/>
      <c r="F11" s="78"/>
      <c r="G11" s="78"/>
    </row>
    <row r="12" spans="1:7" ht="15" customHeight="1" x14ac:dyDescent="0.25">
      <c r="B12" s="78"/>
      <c r="C12" s="78"/>
      <c r="D12" s="78"/>
      <c r="E12" s="78"/>
      <c r="F12" s="78"/>
      <c r="G12" s="78"/>
    </row>
    <row r="13" spans="1:7" ht="15" customHeight="1" x14ac:dyDescent="0.25">
      <c r="B13" s="78"/>
      <c r="C13" s="78"/>
      <c r="D13" s="78"/>
      <c r="E13" s="78"/>
      <c r="F13" s="78"/>
      <c r="G13" s="78"/>
    </row>
    <row r="14" spans="1:7" ht="15" customHeight="1" x14ac:dyDescent="0.25">
      <c r="B14" s="78"/>
      <c r="C14" s="78"/>
      <c r="D14" s="78"/>
      <c r="E14" s="78"/>
      <c r="F14" s="78"/>
      <c r="G14" s="78"/>
    </row>
    <row r="15" spans="1:7" ht="15" customHeight="1" x14ac:dyDescent="0.25">
      <c r="B15" s="78"/>
      <c r="C15" s="78"/>
      <c r="D15" s="78"/>
      <c r="E15" s="78"/>
      <c r="F15" s="78"/>
      <c r="G15" s="78"/>
    </row>
    <row r="16" spans="1:7" ht="15" customHeight="1" x14ac:dyDescent="0.25">
      <c r="B16" s="78"/>
      <c r="C16" s="78"/>
      <c r="D16" s="78"/>
      <c r="E16" s="78"/>
      <c r="F16" s="78"/>
      <c r="G16" s="78"/>
    </row>
    <row r="17" spans="2:7" ht="15" customHeight="1" x14ac:dyDescent="0.25">
      <c r="B17" s="78"/>
      <c r="C17" s="78"/>
      <c r="D17" s="78"/>
      <c r="E17" s="78"/>
      <c r="F17" s="78"/>
      <c r="G17" s="78"/>
    </row>
    <row r="18" spans="2:7" ht="15" customHeight="1" x14ac:dyDescent="0.25">
      <c r="B18" s="78"/>
      <c r="C18" s="78"/>
      <c r="D18" s="78"/>
      <c r="E18" s="78"/>
      <c r="F18" s="78"/>
      <c r="G18" s="78"/>
    </row>
    <row r="19" spans="2:7" ht="15" customHeight="1" x14ac:dyDescent="0.25">
      <c r="B19" s="78"/>
      <c r="C19" s="78"/>
      <c r="D19" s="78"/>
      <c r="E19" s="78"/>
      <c r="F19" s="78"/>
      <c r="G19" s="78"/>
    </row>
    <row r="20" spans="2:7" ht="15" customHeight="1" x14ac:dyDescent="0.25">
      <c r="B20" s="78"/>
      <c r="C20" s="78"/>
      <c r="D20" s="78"/>
      <c r="E20" s="78"/>
      <c r="F20" s="78"/>
      <c r="G20" s="78"/>
    </row>
    <row r="21" spans="2:7" ht="15" customHeight="1" x14ac:dyDescent="0.25">
      <c r="B21" s="78"/>
      <c r="C21" s="78"/>
      <c r="D21" s="78"/>
      <c r="E21" s="78"/>
      <c r="F21" s="78"/>
      <c r="G21" s="78"/>
    </row>
    <row r="22" spans="2:7" ht="15" customHeight="1" x14ac:dyDescent="0.25">
      <c r="B22" s="78"/>
      <c r="C22" s="78"/>
      <c r="D22" s="78"/>
      <c r="E22" s="78"/>
      <c r="F22" s="78"/>
      <c r="G22" s="78"/>
    </row>
    <row r="23" spans="2:7" ht="15" customHeight="1" x14ac:dyDescent="0.25">
      <c r="B23" s="78"/>
      <c r="C23" s="78"/>
      <c r="D23" s="78"/>
      <c r="E23" s="78"/>
      <c r="F23" s="78"/>
      <c r="G23" s="78"/>
    </row>
    <row r="24" spans="2:7" ht="15" customHeight="1" thickBot="1" x14ac:dyDescent="0.3">
      <c r="C24" s="17"/>
      <c r="D24" s="17"/>
      <c r="E24" s="17"/>
      <c r="F24" s="17"/>
      <c r="G24" s="17"/>
    </row>
    <row r="25" spans="2:7" ht="15" customHeight="1" thickBot="1" x14ac:dyDescent="0.3">
      <c r="B25" s="7" t="s">
        <v>10</v>
      </c>
      <c r="C25" s="120" t="s">
        <v>32</v>
      </c>
      <c r="D25" s="121"/>
      <c r="E25" s="9" t="s">
        <v>33</v>
      </c>
      <c r="F25" s="9" t="s">
        <v>34</v>
      </c>
      <c r="G25" s="9" t="s">
        <v>38</v>
      </c>
    </row>
    <row r="26" spans="2:7" ht="18" thickBot="1" x14ac:dyDescent="0.3">
      <c r="B26" s="8">
        <v>2</v>
      </c>
      <c r="C26" s="122" t="s">
        <v>41</v>
      </c>
      <c r="D26" s="122"/>
      <c r="E26" s="12" t="e">
        <f>+_xlfn.XLOOKUP(_xlfn.CONCAT("Unidad ",$A$4,"-",B26),cronograma!#REF!,cronograma!$J$19:$J$34,"-",0,1)</f>
        <v>#REF!</v>
      </c>
      <c r="F26" s="12" t="e">
        <f>+_xlfn.XLOOKUP(_xlfn.CONCAT("Unidad ",$A$4,"-",B26),cronograma!#REF!,cronograma!$K$19:$K$34,"-",0,1)</f>
        <v>#REF!</v>
      </c>
      <c r="G26" s="13">
        <v>100</v>
      </c>
    </row>
    <row r="28" spans="2:7" x14ac:dyDescent="0.25">
      <c r="B28" t="s">
        <v>46</v>
      </c>
    </row>
    <row r="30" spans="2:7" x14ac:dyDescent="0.25">
      <c r="B30" s="78" t="s">
        <v>51</v>
      </c>
      <c r="C30" s="78"/>
      <c r="D30" s="78"/>
      <c r="E30" s="78"/>
      <c r="F30" s="78"/>
      <c r="G30" s="78"/>
    </row>
    <row r="31" spans="2:7" x14ac:dyDescent="0.25">
      <c r="B31" s="78"/>
      <c r="C31" s="78"/>
      <c r="D31" s="78"/>
      <c r="E31" s="78"/>
      <c r="F31" s="78"/>
      <c r="G31" s="78"/>
    </row>
    <row r="32" spans="2:7" ht="32.25" customHeight="1" x14ac:dyDescent="0.25">
      <c r="B32" s="78"/>
      <c r="C32" s="78"/>
      <c r="D32" s="78"/>
      <c r="E32" s="78"/>
      <c r="F32" s="78"/>
      <c r="G32" s="78"/>
    </row>
    <row r="33" spans="2:7" ht="26.25" customHeight="1" x14ac:dyDescent="0.25">
      <c r="B33" s="78"/>
      <c r="C33" s="78"/>
      <c r="D33" s="78"/>
      <c r="E33" s="78"/>
      <c r="F33" s="78"/>
      <c r="G33" s="78"/>
    </row>
    <row r="34" spans="2:7" ht="26.25" customHeight="1" x14ac:dyDescent="0.25">
      <c r="B34" s="78"/>
      <c r="C34" s="78"/>
      <c r="D34" s="78"/>
      <c r="E34" s="78"/>
      <c r="F34" s="78"/>
      <c r="G34" s="78"/>
    </row>
    <row r="35" spans="2:7" ht="26.25" customHeight="1" x14ac:dyDescent="0.25"/>
    <row r="36" spans="2:7" ht="26.25" customHeight="1" x14ac:dyDescent="0.25"/>
  </sheetData>
  <mergeCells count="7">
    <mergeCell ref="B30:G34"/>
    <mergeCell ref="B3:G3"/>
    <mergeCell ref="B4:G4"/>
    <mergeCell ref="B5:G5"/>
    <mergeCell ref="B7:G23"/>
    <mergeCell ref="C25:D25"/>
    <mergeCell ref="C26:D26"/>
  </mergeCells>
  <dataValidations count="1">
    <dataValidation type="list" allowBlank="1" showInputMessage="1" showErrorMessage="1" sqref="A4" xr:uid="{F2E41C8A-2DA9-401A-9E9F-63D090725CB0}">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8D62-0E27-4565-BCE5-D82801BF3FEC}">
  <sheetPr codeName="Hoja15">
    <tabColor theme="9" tint="0.59999389629810485"/>
  </sheetPr>
  <dimension ref="A3:G36"/>
  <sheetViews>
    <sheetView view="pageLayout" zoomScale="85" zoomScaleNormal="100" zoomScalePageLayoutView="85" workbookViewId="0">
      <selection activeCell="B7" sqref="B7:G23"/>
    </sheetView>
  </sheetViews>
  <sheetFormatPr baseColWidth="10" defaultColWidth="11.5703125" defaultRowHeight="15" x14ac:dyDescent="0.25"/>
  <cols>
    <col min="1" max="1" width="4.7109375" customWidth="1"/>
    <col min="2" max="2" width="3.7109375" customWidth="1"/>
    <col min="3" max="7" width="17" customWidth="1"/>
  </cols>
  <sheetData>
    <row r="3" spans="1:7" ht="21.75" customHeight="1" x14ac:dyDescent="0.25">
      <c r="B3" s="75" t="s">
        <v>29</v>
      </c>
      <c r="C3" s="75"/>
      <c r="D3" s="75"/>
      <c r="E3" s="75"/>
      <c r="F3" s="75"/>
      <c r="G3" s="75"/>
    </row>
    <row r="4" spans="1:7" ht="18.75" x14ac:dyDescent="0.25">
      <c r="A4" s="16">
        <v>3</v>
      </c>
      <c r="B4" s="117" t="str">
        <f>+_xlfn.CONCAT("Unidad ",A4,": ",_xlfn.XLOOKUP(_xlfn.CONCAT("Unidad ",A4),Tabla5[Unidad],Tabla5[Nombre de la unidad],"",0,1))</f>
        <v>Unidad 3: Machine Learning para Big Data</v>
      </c>
      <c r="C4" s="117"/>
      <c r="D4" s="117"/>
      <c r="E4" s="117"/>
      <c r="F4" s="117"/>
      <c r="G4" s="117"/>
    </row>
    <row r="5" spans="1:7" ht="15" customHeight="1" x14ac:dyDescent="0.25">
      <c r="B5" s="77" t="str">
        <f>+_xlfn.CONCAT("Descripción de las actividades ",A4,".2")</f>
        <v>Descripción de las actividades 3.2</v>
      </c>
      <c r="C5" s="77"/>
      <c r="D5" s="77"/>
      <c r="E5" s="77"/>
      <c r="F5" s="77"/>
      <c r="G5" s="77"/>
    </row>
    <row r="6" spans="1:7" ht="15" customHeight="1" x14ac:dyDescent="0.25">
      <c r="C6" s="15"/>
      <c r="D6" s="15"/>
      <c r="E6" s="15"/>
      <c r="F6" s="15"/>
      <c r="G6" s="15"/>
    </row>
    <row r="7" spans="1:7" ht="15.75" customHeight="1" x14ac:dyDescent="0.25">
      <c r="B7" s="78" t="s">
        <v>47</v>
      </c>
      <c r="C7" s="78"/>
      <c r="D7" s="78"/>
      <c r="E7" s="78"/>
      <c r="F7" s="78"/>
      <c r="G7" s="78"/>
    </row>
    <row r="8" spans="1:7" ht="15" customHeight="1" x14ac:dyDescent="0.25">
      <c r="B8" s="78"/>
      <c r="C8" s="78"/>
      <c r="D8" s="78"/>
      <c r="E8" s="78"/>
      <c r="F8" s="78"/>
      <c r="G8" s="78"/>
    </row>
    <row r="9" spans="1:7" ht="15" customHeight="1" x14ac:dyDescent="0.25">
      <c r="B9" s="78"/>
      <c r="C9" s="78"/>
      <c r="D9" s="78"/>
      <c r="E9" s="78"/>
      <c r="F9" s="78"/>
      <c r="G9" s="78"/>
    </row>
    <row r="10" spans="1:7" ht="15" customHeight="1" x14ac:dyDescent="0.25">
      <c r="B10" s="78"/>
      <c r="C10" s="78"/>
      <c r="D10" s="78"/>
      <c r="E10" s="78"/>
      <c r="F10" s="78"/>
      <c r="G10" s="78"/>
    </row>
    <row r="11" spans="1:7" ht="15" customHeight="1" x14ac:dyDescent="0.25">
      <c r="B11" s="78"/>
      <c r="C11" s="78"/>
      <c r="D11" s="78"/>
      <c r="E11" s="78"/>
      <c r="F11" s="78"/>
      <c r="G11" s="78"/>
    </row>
    <row r="12" spans="1:7" ht="15" customHeight="1" x14ac:dyDescent="0.25">
      <c r="B12" s="78"/>
      <c r="C12" s="78"/>
      <c r="D12" s="78"/>
      <c r="E12" s="78"/>
      <c r="F12" s="78"/>
      <c r="G12" s="78"/>
    </row>
    <row r="13" spans="1:7" ht="15" customHeight="1" x14ac:dyDescent="0.25">
      <c r="B13" s="78"/>
      <c r="C13" s="78"/>
      <c r="D13" s="78"/>
      <c r="E13" s="78"/>
      <c r="F13" s="78"/>
      <c r="G13" s="78"/>
    </row>
    <row r="14" spans="1:7" ht="15" customHeight="1" x14ac:dyDescent="0.25">
      <c r="B14" s="78"/>
      <c r="C14" s="78"/>
      <c r="D14" s="78"/>
      <c r="E14" s="78"/>
      <c r="F14" s="78"/>
      <c r="G14" s="78"/>
    </row>
    <row r="15" spans="1:7" ht="15" customHeight="1" x14ac:dyDescent="0.25">
      <c r="B15" s="78"/>
      <c r="C15" s="78"/>
      <c r="D15" s="78"/>
      <c r="E15" s="78"/>
      <c r="F15" s="78"/>
      <c r="G15" s="78"/>
    </row>
    <row r="16" spans="1:7" ht="15" customHeight="1" x14ac:dyDescent="0.25">
      <c r="B16" s="78"/>
      <c r="C16" s="78"/>
      <c r="D16" s="78"/>
      <c r="E16" s="78"/>
      <c r="F16" s="78"/>
      <c r="G16" s="78"/>
    </row>
    <row r="17" spans="2:7" ht="15" customHeight="1" x14ac:dyDescent="0.25">
      <c r="B17" s="78"/>
      <c r="C17" s="78"/>
      <c r="D17" s="78"/>
      <c r="E17" s="78"/>
      <c r="F17" s="78"/>
      <c r="G17" s="78"/>
    </row>
    <row r="18" spans="2:7" ht="15" customHeight="1" x14ac:dyDescent="0.25">
      <c r="B18" s="78"/>
      <c r="C18" s="78"/>
      <c r="D18" s="78"/>
      <c r="E18" s="78"/>
      <c r="F18" s="78"/>
      <c r="G18" s="78"/>
    </row>
    <row r="19" spans="2:7" ht="15" customHeight="1" x14ac:dyDescent="0.25">
      <c r="B19" s="78"/>
      <c r="C19" s="78"/>
      <c r="D19" s="78"/>
      <c r="E19" s="78"/>
      <c r="F19" s="78"/>
      <c r="G19" s="78"/>
    </row>
    <row r="20" spans="2:7" ht="15" customHeight="1" x14ac:dyDescent="0.25">
      <c r="B20" s="78"/>
      <c r="C20" s="78"/>
      <c r="D20" s="78"/>
      <c r="E20" s="78"/>
      <c r="F20" s="78"/>
      <c r="G20" s="78"/>
    </row>
    <row r="21" spans="2:7" ht="15" customHeight="1" x14ac:dyDescent="0.25">
      <c r="B21" s="78"/>
      <c r="C21" s="78"/>
      <c r="D21" s="78"/>
      <c r="E21" s="78"/>
      <c r="F21" s="78"/>
      <c r="G21" s="78"/>
    </row>
    <row r="22" spans="2:7" ht="15" customHeight="1" x14ac:dyDescent="0.25">
      <c r="B22" s="78"/>
      <c r="C22" s="78"/>
      <c r="D22" s="78"/>
      <c r="E22" s="78"/>
      <c r="F22" s="78"/>
      <c r="G22" s="78"/>
    </row>
    <row r="23" spans="2:7" ht="15" customHeight="1" x14ac:dyDescent="0.25">
      <c r="B23" s="78"/>
      <c r="C23" s="78"/>
      <c r="D23" s="78"/>
      <c r="E23" s="78"/>
      <c r="F23" s="78"/>
      <c r="G23" s="78"/>
    </row>
    <row r="24" spans="2:7" ht="15" customHeight="1" thickBot="1" x14ac:dyDescent="0.3">
      <c r="C24" s="17"/>
      <c r="D24" s="17"/>
      <c r="E24" s="17"/>
      <c r="F24" s="17"/>
      <c r="G24" s="17"/>
    </row>
    <row r="25" spans="2:7" ht="15" customHeight="1" thickBot="1" x14ac:dyDescent="0.3">
      <c r="B25" s="7" t="s">
        <v>10</v>
      </c>
      <c r="C25" s="120" t="s">
        <v>32</v>
      </c>
      <c r="D25" s="121"/>
      <c r="E25" s="9" t="s">
        <v>33</v>
      </c>
      <c r="F25" s="9" t="s">
        <v>34</v>
      </c>
      <c r="G25" s="9" t="s">
        <v>38</v>
      </c>
    </row>
    <row r="26" spans="2:7" ht="18" thickBot="1" x14ac:dyDescent="0.3">
      <c r="B26" s="8">
        <v>2</v>
      </c>
      <c r="C26" s="122" t="s">
        <v>41</v>
      </c>
      <c r="D26" s="122"/>
      <c r="E26" s="12" t="e">
        <f>+_xlfn.XLOOKUP(_xlfn.CONCAT("Unidad ",$A$4,"-",B26),cronograma!#REF!,cronograma!$J$19:$J$34,"-",0,1)</f>
        <v>#REF!</v>
      </c>
      <c r="F26" s="12" t="e">
        <f>+_xlfn.XLOOKUP(_xlfn.CONCAT("Unidad ",$A$4,"-",B26),cronograma!#REF!,cronograma!$K$19:$K$34,"-",0,1)</f>
        <v>#REF!</v>
      </c>
      <c r="G26" s="13">
        <v>100</v>
      </c>
    </row>
    <row r="28" spans="2:7" x14ac:dyDescent="0.25">
      <c r="B28" t="s">
        <v>46</v>
      </c>
    </row>
    <row r="30" spans="2:7" x14ac:dyDescent="0.25">
      <c r="B30" s="78" t="s">
        <v>51</v>
      </c>
      <c r="C30" s="78"/>
      <c r="D30" s="78"/>
      <c r="E30" s="78"/>
      <c r="F30" s="78"/>
      <c r="G30" s="78"/>
    </row>
    <row r="31" spans="2:7" x14ac:dyDescent="0.25">
      <c r="B31" s="78"/>
      <c r="C31" s="78"/>
      <c r="D31" s="78"/>
      <c r="E31" s="78"/>
      <c r="F31" s="78"/>
      <c r="G31" s="78"/>
    </row>
    <row r="32" spans="2:7" ht="32.25" customHeight="1" x14ac:dyDescent="0.25">
      <c r="B32" s="78"/>
      <c r="C32" s="78"/>
      <c r="D32" s="78"/>
      <c r="E32" s="78"/>
      <c r="F32" s="78"/>
      <c r="G32" s="78"/>
    </row>
    <row r="33" spans="2:7" ht="26.25" customHeight="1" x14ac:dyDescent="0.25">
      <c r="B33" s="78"/>
      <c r="C33" s="78"/>
      <c r="D33" s="78"/>
      <c r="E33" s="78"/>
      <c r="F33" s="78"/>
      <c r="G33" s="78"/>
    </row>
    <row r="34" spans="2:7" ht="26.25" customHeight="1" x14ac:dyDescent="0.25">
      <c r="B34" s="78"/>
      <c r="C34" s="78"/>
      <c r="D34" s="78"/>
      <c r="E34" s="78"/>
      <c r="F34" s="78"/>
      <c r="G34" s="78"/>
    </row>
    <row r="35" spans="2:7" ht="26.25" customHeight="1" x14ac:dyDescent="0.25"/>
    <row r="36" spans="2:7" ht="26.25" customHeight="1" x14ac:dyDescent="0.25"/>
  </sheetData>
  <mergeCells count="7">
    <mergeCell ref="B30:G34"/>
    <mergeCell ref="B3:G3"/>
    <mergeCell ref="B4:G4"/>
    <mergeCell ref="B5:G5"/>
    <mergeCell ref="B7:G23"/>
    <mergeCell ref="C25:D25"/>
    <mergeCell ref="C26:D26"/>
  </mergeCells>
  <dataValidations count="1">
    <dataValidation type="list" allowBlank="1" showInputMessage="1" showErrorMessage="1" sqref="A4" xr:uid="{2B5FD1FB-0B1A-4A18-AC25-2548B2192751}">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DAF28-7731-4C00-B94B-B7E048D4522B}">
  <sheetPr codeName="Hoja16">
    <tabColor theme="9" tint="0.59999389629810485"/>
  </sheetPr>
  <dimension ref="A3:G36"/>
  <sheetViews>
    <sheetView view="pageLayout" zoomScale="85" zoomScaleNormal="100" zoomScalePageLayoutView="85" workbookViewId="0">
      <selection activeCell="B7" sqref="B7:G23"/>
    </sheetView>
  </sheetViews>
  <sheetFormatPr baseColWidth="10" defaultColWidth="11.5703125" defaultRowHeight="15" x14ac:dyDescent="0.25"/>
  <cols>
    <col min="1" max="1" width="4.7109375" customWidth="1"/>
    <col min="2" max="2" width="3.7109375" customWidth="1"/>
    <col min="3" max="7" width="17" customWidth="1"/>
  </cols>
  <sheetData>
    <row r="3" spans="1:7" ht="21.75" customHeight="1" x14ac:dyDescent="0.25">
      <c r="B3" s="75" t="s">
        <v>29</v>
      </c>
      <c r="C3" s="75"/>
      <c r="D3" s="75"/>
      <c r="E3" s="75"/>
      <c r="F3" s="75"/>
      <c r="G3" s="75"/>
    </row>
    <row r="4" spans="1:7" ht="18.75" x14ac:dyDescent="0.25">
      <c r="A4" s="16">
        <v>4</v>
      </c>
      <c r="B4" s="117" t="str">
        <f>+_xlfn.CONCAT("Unidad ",A4,": ",_xlfn.XLOOKUP(_xlfn.CONCAT("Unidad ",A4),Tabla5[Unidad],Tabla5[Nombre de la unidad],"",0,1))</f>
        <v>Unidad 4: Interpretación de los resultados y modelos estadísticos en Big Data</v>
      </c>
      <c r="C4" s="117"/>
      <c r="D4" s="117"/>
      <c r="E4" s="117"/>
      <c r="F4" s="117"/>
      <c r="G4" s="117"/>
    </row>
    <row r="5" spans="1:7" ht="15" customHeight="1" x14ac:dyDescent="0.25">
      <c r="B5" s="77" t="str">
        <f>+_xlfn.CONCAT("Descripción de las actividades ",A4,".2")</f>
        <v>Descripción de las actividades 4.2</v>
      </c>
      <c r="C5" s="77"/>
      <c r="D5" s="77"/>
      <c r="E5" s="77"/>
      <c r="F5" s="77"/>
      <c r="G5" s="77"/>
    </row>
    <row r="6" spans="1:7" ht="15" customHeight="1" x14ac:dyDescent="0.25">
      <c r="C6" s="15"/>
      <c r="D6" s="15"/>
      <c r="E6" s="15"/>
      <c r="F6" s="15"/>
      <c r="G6" s="15"/>
    </row>
    <row r="7" spans="1:7" ht="15.75" customHeight="1" x14ac:dyDescent="0.25">
      <c r="B7" s="78" t="s">
        <v>47</v>
      </c>
      <c r="C7" s="78"/>
      <c r="D7" s="78"/>
      <c r="E7" s="78"/>
      <c r="F7" s="78"/>
      <c r="G7" s="78"/>
    </row>
    <row r="8" spans="1:7" ht="15" customHeight="1" x14ac:dyDescent="0.25">
      <c r="B8" s="78"/>
      <c r="C8" s="78"/>
      <c r="D8" s="78"/>
      <c r="E8" s="78"/>
      <c r="F8" s="78"/>
      <c r="G8" s="78"/>
    </row>
    <row r="9" spans="1:7" ht="15" customHeight="1" x14ac:dyDescent="0.25">
      <c r="B9" s="78"/>
      <c r="C9" s="78"/>
      <c r="D9" s="78"/>
      <c r="E9" s="78"/>
      <c r="F9" s="78"/>
      <c r="G9" s="78"/>
    </row>
    <row r="10" spans="1:7" ht="15" customHeight="1" x14ac:dyDescent="0.25">
      <c r="B10" s="78"/>
      <c r="C10" s="78"/>
      <c r="D10" s="78"/>
      <c r="E10" s="78"/>
      <c r="F10" s="78"/>
      <c r="G10" s="78"/>
    </row>
    <row r="11" spans="1:7" ht="15" customHeight="1" x14ac:dyDescent="0.25">
      <c r="B11" s="78"/>
      <c r="C11" s="78"/>
      <c r="D11" s="78"/>
      <c r="E11" s="78"/>
      <c r="F11" s="78"/>
      <c r="G11" s="78"/>
    </row>
    <row r="12" spans="1:7" ht="15" customHeight="1" x14ac:dyDescent="0.25">
      <c r="B12" s="78"/>
      <c r="C12" s="78"/>
      <c r="D12" s="78"/>
      <c r="E12" s="78"/>
      <c r="F12" s="78"/>
      <c r="G12" s="78"/>
    </row>
    <row r="13" spans="1:7" ht="15" customHeight="1" x14ac:dyDescent="0.25">
      <c r="B13" s="78"/>
      <c r="C13" s="78"/>
      <c r="D13" s="78"/>
      <c r="E13" s="78"/>
      <c r="F13" s="78"/>
      <c r="G13" s="78"/>
    </row>
    <row r="14" spans="1:7" ht="15" customHeight="1" x14ac:dyDescent="0.25">
      <c r="B14" s="78"/>
      <c r="C14" s="78"/>
      <c r="D14" s="78"/>
      <c r="E14" s="78"/>
      <c r="F14" s="78"/>
      <c r="G14" s="78"/>
    </row>
    <row r="15" spans="1:7" ht="15" customHeight="1" x14ac:dyDescent="0.25">
      <c r="B15" s="78"/>
      <c r="C15" s="78"/>
      <c r="D15" s="78"/>
      <c r="E15" s="78"/>
      <c r="F15" s="78"/>
      <c r="G15" s="78"/>
    </row>
    <row r="16" spans="1:7" ht="15" customHeight="1" x14ac:dyDescent="0.25">
      <c r="B16" s="78"/>
      <c r="C16" s="78"/>
      <c r="D16" s="78"/>
      <c r="E16" s="78"/>
      <c r="F16" s="78"/>
      <c r="G16" s="78"/>
    </row>
    <row r="17" spans="2:7" ht="15" customHeight="1" x14ac:dyDescent="0.25">
      <c r="B17" s="78"/>
      <c r="C17" s="78"/>
      <c r="D17" s="78"/>
      <c r="E17" s="78"/>
      <c r="F17" s="78"/>
      <c r="G17" s="78"/>
    </row>
    <row r="18" spans="2:7" ht="15" customHeight="1" x14ac:dyDescent="0.25">
      <c r="B18" s="78"/>
      <c r="C18" s="78"/>
      <c r="D18" s="78"/>
      <c r="E18" s="78"/>
      <c r="F18" s="78"/>
      <c r="G18" s="78"/>
    </row>
    <row r="19" spans="2:7" ht="15" customHeight="1" x14ac:dyDescent="0.25">
      <c r="B19" s="78"/>
      <c r="C19" s="78"/>
      <c r="D19" s="78"/>
      <c r="E19" s="78"/>
      <c r="F19" s="78"/>
      <c r="G19" s="78"/>
    </row>
    <row r="20" spans="2:7" ht="15" customHeight="1" x14ac:dyDescent="0.25">
      <c r="B20" s="78"/>
      <c r="C20" s="78"/>
      <c r="D20" s="78"/>
      <c r="E20" s="78"/>
      <c r="F20" s="78"/>
      <c r="G20" s="78"/>
    </row>
    <row r="21" spans="2:7" ht="15" customHeight="1" x14ac:dyDescent="0.25">
      <c r="B21" s="78"/>
      <c r="C21" s="78"/>
      <c r="D21" s="78"/>
      <c r="E21" s="78"/>
      <c r="F21" s="78"/>
      <c r="G21" s="78"/>
    </row>
    <row r="22" spans="2:7" ht="15" customHeight="1" x14ac:dyDescent="0.25">
      <c r="B22" s="78"/>
      <c r="C22" s="78"/>
      <c r="D22" s="78"/>
      <c r="E22" s="78"/>
      <c r="F22" s="78"/>
      <c r="G22" s="78"/>
    </row>
    <row r="23" spans="2:7" ht="15" customHeight="1" x14ac:dyDescent="0.25">
      <c r="B23" s="78"/>
      <c r="C23" s="78"/>
      <c r="D23" s="78"/>
      <c r="E23" s="78"/>
      <c r="F23" s="78"/>
      <c r="G23" s="78"/>
    </row>
    <row r="24" spans="2:7" ht="15" customHeight="1" thickBot="1" x14ac:dyDescent="0.3">
      <c r="C24" s="17"/>
      <c r="D24" s="17"/>
      <c r="E24" s="17"/>
      <c r="F24" s="17"/>
      <c r="G24" s="17"/>
    </row>
    <row r="25" spans="2:7" ht="15" customHeight="1" thickBot="1" x14ac:dyDescent="0.3">
      <c r="B25" s="7" t="s">
        <v>10</v>
      </c>
      <c r="C25" s="120" t="s">
        <v>32</v>
      </c>
      <c r="D25" s="121"/>
      <c r="E25" s="9" t="s">
        <v>33</v>
      </c>
      <c r="F25" s="9" t="s">
        <v>34</v>
      </c>
      <c r="G25" s="9" t="s">
        <v>38</v>
      </c>
    </row>
    <row r="26" spans="2:7" ht="18" thickBot="1" x14ac:dyDescent="0.3">
      <c r="B26" s="8">
        <v>2</v>
      </c>
      <c r="C26" s="122" t="s">
        <v>41</v>
      </c>
      <c r="D26" s="122"/>
      <c r="E26" s="12" t="e">
        <f>+_xlfn.XLOOKUP(_xlfn.CONCAT("Unidad ",$A$4,"-",B26),cronograma!#REF!,cronograma!$J$19:$J$34,"-",0,1)</f>
        <v>#REF!</v>
      </c>
      <c r="F26" s="12" t="e">
        <f>+_xlfn.XLOOKUP(_xlfn.CONCAT("Unidad ",$A$4,"-",B26),cronograma!#REF!,cronograma!$K$19:$K$34,"-",0,1)</f>
        <v>#REF!</v>
      </c>
      <c r="G26" s="13">
        <v>100</v>
      </c>
    </row>
    <row r="28" spans="2:7" x14ac:dyDescent="0.25">
      <c r="B28" t="s">
        <v>46</v>
      </c>
    </row>
    <row r="30" spans="2:7" x14ac:dyDescent="0.25">
      <c r="B30" s="78" t="s">
        <v>51</v>
      </c>
      <c r="C30" s="78"/>
      <c r="D30" s="78"/>
      <c r="E30" s="78"/>
      <c r="F30" s="78"/>
      <c r="G30" s="78"/>
    </row>
    <row r="31" spans="2:7" x14ac:dyDescent="0.25">
      <c r="B31" s="78"/>
      <c r="C31" s="78"/>
      <c r="D31" s="78"/>
      <c r="E31" s="78"/>
      <c r="F31" s="78"/>
      <c r="G31" s="78"/>
    </row>
    <row r="32" spans="2:7" ht="32.25" customHeight="1" x14ac:dyDescent="0.25">
      <c r="B32" s="78"/>
      <c r="C32" s="78"/>
      <c r="D32" s="78"/>
      <c r="E32" s="78"/>
      <c r="F32" s="78"/>
      <c r="G32" s="78"/>
    </row>
    <row r="33" spans="2:7" ht="26.25" customHeight="1" x14ac:dyDescent="0.25">
      <c r="B33" s="78"/>
      <c r="C33" s="78"/>
      <c r="D33" s="78"/>
      <c r="E33" s="78"/>
      <c r="F33" s="78"/>
      <c r="G33" s="78"/>
    </row>
    <row r="34" spans="2:7" ht="26.25" customHeight="1" x14ac:dyDescent="0.25">
      <c r="B34" s="78"/>
      <c r="C34" s="78"/>
      <c r="D34" s="78"/>
      <c r="E34" s="78"/>
      <c r="F34" s="78"/>
      <c r="G34" s="78"/>
    </row>
    <row r="35" spans="2:7" ht="26.25" customHeight="1" x14ac:dyDescent="0.25"/>
    <row r="36" spans="2:7" ht="26.25" customHeight="1" x14ac:dyDescent="0.25"/>
  </sheetData>
  <mergeCells count="7">
    <mergeCell ref="B30:G34"/>
    <mergeCell ref="B3:G3"/>
    <mergeCell ref="B4:G4"/>
    <mergeCell ref="B5:G5"/>
    <mergeCell ref="B7:G23"/>
    <mergeCell ref="C25:D25"/>
    <mergeCell ref="C26:D26"/>
  </mergeCells>
  <dataValidations count="1">
    <dataValidation type="list" allowBlank="1" showInputMessage="1" showErrorMessage="1" sqref="A4" xr:uid="{885DCFCE-9AD6-451B-A19D-0D72C691A857}">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3543-7E62-4EC3-92F4-6EE04097E716}">
  <sheetPr codeName="Hoja18">
    <tabColor theme="4" tint="0.39997558519241921"/>
  </sheetPr>
  <dimension ref="A3:F31"/>
  <sheetViews>
    <sheetView view="pageLayout" zoomScale="85" zoomScaleNormal="100" zoomScalePageLayoutView="85" workbookViewId="0">
      <selection activeCell="B7" sqref="B7:F20"/>
    </sheetView>
  </sheetViews>
  <sheetFormatPr baseColWidth="10" defaultColWidth="11.5703125" defaultRowHeight="15" x14ac:dyDescent="0.25"/>
  <cols>
    <col min="1" max="1" width="4.7109375" customWidth="1"/>
    <col min="2" max="2" width="3.7109375" customWidth="1"/>
    <col min="3" max="3" width="25.5703125" customWidth="1"/>
    <col min="4" max="4" width="30.28515625" customWidth="1"/>
    <col min="5" max="6" width="11.28515625" bestFit="1" customWidth="1"/>
  </cols>
  <sheetData>
    <row r="3" spans="1:6" ht="21.75" customHeight="1" x14ac:dyDescent="0.25">
      <c r="B3" s="75" t="s">
        <v>29</v>
      </c>
      <c r="C3" s="75"/>
      <c r="D3" s="75"/>
      <c r="E3" s="75"/>
      <c r="F3" s="75"/>
    </row>
    <row r="4" spans="1:6" ht="18.75" x14ac:dyDescent="0.25">
      <c r="A4" s="16">
        <v>1</v>
      </c>
      <c r="B4" s="117" t="str">
        <f>+_xlfn.CONCAT("Unidad ",A4,": ",_xlfn.XLOOKUP(_xlfn.CONCAT("Unidad ",A4),Tabla5[Unidad],Tabla5[Nombre de la unidad],"",0,1))</f>
        <v>Unidad 1: Manejo de datos en Big Data – Introducciones conceptuales</v>
      </c>
      <c r="C4" s="117"/>
      <c r="D4" s="117"/>
      <c r="E4" s="117"/>
      <c r="F4" s="117"/>
    </row>
    <row r="5" spans="1:6" ht="15" customHeight="1" x14ac:dyDescent="0.25">
      <c r="B5" s="77" t="str">
        <f>+_xlfn.CONCAT("Descripción de las actividades ",A4,".3")</f>
        <v>Descripción de las actividades 1.3</v>
      </c>
      <c r="C5" s="77"/>
      <c r="D5" s="77"/>
      <c r="E5" s="77"/>
      <c r="F5" s="77"/>
    </row>
    <row r="6" spans="1:6" ht="15" customHeight="1" x14ac:dyDescent="0.25">
      <c r="C6" s="15"/>
      <c r="D6" s="15"/>
      <c r="E6" s="15"/>
      <c r="F6" s="15"/>
    </row>
    <row r="7" spans="1:6" ht="15.75" customHeight="1" x14ac:dyDescent="0.25">
      <c r="B7" s="78" t="s">
        <v>53</v>
      </c>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s="78"/>
      <c r="C10" s="78"/>
      <c r="D10" s="78"/>
      <c r="E10" s="78"/>
      <c r="F10" s="78"/>
    </row>
    <row r="11" spans="1:6" ht="15" customHeight="1" x14ac:dyDescent="0.25">
      <c r="B11" s="78"/>
      <c r="C11" s="78"/>
      <c r="D11" s="78"/>
      <c r="E11" s="78"/>
      <c r="F11" s="78"/>
    </row>
    <row r="12" spans="1:6" ht="15" customHeight="1" x14ac:dyDescent="0.25">
      <c r="B12" s="78"/>
      <c r="C12" s="78"/>
      <c r="D12" s="78"/>
      <c r="E12" s="78"/>
      <c r="F12" s="78"/>
    </row>
    <row r="13" spans="1:6" ht="15" customHeight="1" x14ac:dyDescent="0.25">
      <c r="B13" s="78"/>
      <c r="C13" s="78"/>
      <c r="D13" s="78"/>
      <c r="E13" s="78"/>
      <c r="F13" s="78"/>
    </row>
    <row r="14" spans="1:6" ht="15" customHeight="1" x14ac:dyDescent="0.25">
      <c r="B14" s="78"/>
      <c r="C14" s="78"/>
      <c r="D14" s="78"/>
      <c r="E14" s="78"/>
      <c r="F14" s="78"/>
    </row>
    <row r="15" spans="1:6" ht="15" customHeight="1" x14ac:dyDescent="0.25">
      <c r="B15" s="78"/>
      <c r="C15" s="78"/>
      <c r="D15" s="78"/>
      <c r="E15" s="78"/>
      <c r="F15" s="78"/>
    </row>
    <row r="16" spans="1:6" ht="15" customHeight="1" x14ac:dyDescent="0.25">
      <c r="B16" s="78"/>
      <c r="C16" s="78"/>
      <c r="D16" s="78"/>
      <c r="E16" s="78"/>
      <c r="F16" s="78"/>
    </row>
    <row r="17" spans="2:6" ht="15" customHeight="1" x14ac:dyDescent="0.25">
      <c r="B17" s="78"/>
      <c r="C17" s="78"/>
      <c r="D17" s="78"/>
      <c r="E17" s="78"/>
      <c r="F17" s="78"/>
    </row>
    <row r="18" spans="2:6" ht="15" customHeight="1" x14ac:dyDescent="0.25">
      <c r="B18" s="78"/>
      <c r="C18" s="78"/>
      <c r="D18" s="78"/>
      <c r="E18" s="78"/>
      <c r="F18" s="78"/>
    </row>
    <row r="19" spans="2:6" ht="15" customHeight="1" x14ac:dyDescent="0.25">
      <c r="B19" s="78"/>
      <c r="C19" s="78"/>
      <c r="D19" s="78"/>
      <c r="E19" s="78"/>
      <c r="F19" s="78"/>
    </row>
    <row r="20" spans="2:6" ht="15" customHeight="1" x14ac:dyDescent="0.25">
      <c r="B20" s="78"/>
      <c r="C20" s="78"/>
      <c r="D20" s="78"/>
      <c r="E20" s="78"/>
      <c r="F20" s="78"/>
    </row>
    <row r="21" spans="2:6" ht="15" customHeight="1" thickBot="1" x14ac:dyDescent="0.3">
      <c r="C21" s="17"/>
      <c r="D21" s="17"/>
      <c r="E21" s="17"/>
      <c r="F21" s="17"/>
    </row>
    <row r="22" spans="2:6" ht="15" customHeight="1" thickBot="1" x14ac:dyDescent="0.3">
      <c r="B22" s="7" t="s">
        <v>10</v>
      </c>
      <c r="C22" s="9" t="s">
        <v>32</v>
      </c>
      <c r="D22" s="9" t="s">
        <v>33</v>
      </c>
      <c r="E22" s="9" t="s">
        <v>34</v>
      </c>
      <c r="F22" s="9" t="s">
        <v>38</v>
      </c>
    </row>
    <row r="23" spans="2:6" ht="18" thickBot="1" x14ac:dyDescent="0.3">
      <c r="B23" s="8">
        <v>3</v>
      </c>
      <c r="C23" s="11" t="s">
        <v>42</v>
      </c>
      <c r="D23" s="12" t="e">
        <f>+_xlfn.XLOOKUP(_xlfn.CONCAT("Unidad ",$A$4,"-",B23),cronograma!#REF!,cronograma!$J$19:$J$34,"-",0,1)</f>
        <v>#REF!</v>
      </c>
      <c r="E23" s="12" t="e">
        <f>+_xlfn.XLOOKUP(_xlfn.CONCAT("Unidad ",$A$4,"-",B23),cronograma!#REF!,cronograma!$K$19:$K$34,"-",0,1)</f>
        <v>#REF!</v>
      </c>
      <c r="F23" s="13">
        <v>100</v>
      </c>
    </row>
    <row r="25" spans="2:6" x14ac:dyDescent="0.25">
      <c r="B25" s="78" t="s">
        <v>52</v>
      </c>
      <c r="C25" s="78"/>
      <c r="D25" s="78"/>
      <c r="E25" s="78"/>
      <c r="F25" s="78"/>
    </row>
    <row r="26" spans="2:6" x14ac:dyDescent="0.25">
      <c r="B26" s="78"/>
      <c r="C26" s="78"/>
      <c r="D26" s="78"/>
      <c r="E26" s="78"/>
      <c r="F26" s="78"/>
    </row>
    <row r="27" spans="2:6" ht="32.25" customHeight="1" x14ac:dyDescent="0.25">
      <c r="B27" s="78"/>
      <c r="C27" s="78"/>
      <c r="D27" s="78"/>
      <c r="E27" s="78"/>
      <c r="F27" s="78"/>
    </row>
    <row r="28" spans="2:6" ht="26.25" customHeight="1" x14ac:dyDescent="0.25">
      <c r="B28" s="78"/>
      <c r="C28" s="78"/>
      <c r="D28" s="78"/>
      <c r="E28" s="78"/>
      <c r="F28" s="78"/>
    </row>
    <row r="29" spans="2:6" ht="26.25" customHeight="1" x14ac:dyDescent="0.25">
      <c r="B29" s="78"/>
      <c r="C29" s="78"/>
      <c r="D29" s="78"/>
      <c r="E29" s="78"/>
      <c r="F29" s="78"/>
    </row>
    <row r="30" spans="2:6" ht="26.25" customHeight="1" x14ac:dyDescent="0.25"/>
    <row r="31" spans="2:6" ht="26.25" customHeight="1" x14ac:dyDescent="0.25"/>
  </sheetData>
  <mergeCells count="5">
    <mergeCell ref="B25:F29"/>
    <mergeCell ref="B3:F3"/>
    <mergeCell ref="B4:F4"/>
    <mergeCell ref="B5:F5"/>
    <mergeCell ref="B7:F20"/>
  </mergeCells>
  <dataValidations count="1">
    <dataValidation type="list" allowBlank="1" showInputMessage="1" showErrorMessage="1" sqref="A4" xr:uid="{DDD1DCF5-19A7-4EC7-AB69-D6B7B8FCBF3C}">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4C943-85DE-4422-A266-6F121CFB0599}">
  <sheetPr codeName="Hoja17">
    <tabColor theme="4" tint="0.39997558519241921"/>
  </sheetPr>
  <dimension ref="A3:F31"/>
  <sheetViews>
    <sheetView view="pageLayout" zoomScale="85" zoomScaleNormal="100" zoomScalePageLayoutView="85" workbookViewId="0">
      <selection activeCell="B7" sqref="B7:F20"/>
    </sheetView>
  </sheetViews>
  <sheetFormatPr baseColWidth="10" defaultColWidth="11.5703125" defaultRowHeight="15" x14ac:dyDescent="0.25"/>
  <cols>
    <col min="1" max="1" width="4.7109375" customWidth="1"/>
    <col min="2" max="2" width="3.7109375" customWidth="1"/>
    <col min="3" max="3" width="25.5703125" customWidth="1"/>
    <col min="4" max="4" width="30.28515625" customWidth="1"/>
    <col min="5" max="6" width="11.28515625" bestFit="1" customWidth="1"/>
  </cols>
  <sheetData>
    <row r="3" spans="1:6" ht="21.75" customHeight="1" x14ac:dyDescent="0.25">
      <c r="B3" s="75" t="s">
        <v>29</v>
      </c>
      <c r="C3" s="75"/>
      <c r="D3" s="75"/>
      <c r="E3" s="75"/>
      <c r="F3" s="75"/>
    </row>
    <row r="4" spans="1:6" ht="18.75" x14ac:dyDescent="0.25">
      <c r="A4" s="16">
        <v>2</v>
      </c>
      <c r="B4" s="117" t="str">
        <f>+_xlfn.CONCAT("Unidad ",A4,": ",_xlfn.XLOOKUP(_xlfn.CONCAT("Unidad ",A4),Tabla5[Unidad],Tabla5[Nombre de la unidad],"",0,1))</f>
        <v>Unidad 2: Exploración y visualización datos en Big Data</v>
      </c>
      <c r="C4" s="117"/>
      <c r="D4" s="117"/>
      <c r="E4" s="117"/>
      <c r="F4" s="117"/>
    </row>
    <row r="5" spans="1:6" ht="15" customHeight="1" x14ac:dyDescent="0.25">
      <c r="B5" s="77" t="str">
        <f>+_xlfn.CONCAT("Descripción de las actividades ",A4,".3")</f>
        <v>Descripción de las actividades 2.3</v>
      </c>
      <c r="C5" s="77"/>
      <c r="D5" s="77"/>
      <c r="E5" s="77"/>
      <c r="F5" s="77"/>
    </row>
    <row r="6" spans="1:6" ht="15" customHeight="1" x14ac:dyDescent="0.25">
      <c r="C6" s="15"/>
      <c r="D6" s="15"/>
      <c r="E6" s="15"/>
      <c r="F6" s="15"/>
    </row>
    <row r="7" spans="1:6" ht="15.75" customHeight="1" x14ac:dyDescent="0.25">
      <c r="B7" s="78" t="s">
        <v>53</v>
      </c>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s="78"/>
      <c r="C10" s="78"/>
      <c r="D10" s="78"/>
      <c r="E10" s="78"/>
      <c r="F10" s="78"/>
    </row>
    <row r="11" spans="1:6" ht="15" customHeight="1" x14ac:dyDescent="0.25">
      <c r="B11" s="78"/>
      <c r="C11" s="78"/>
      <c r="D11" s="78"/>
      <c r="E11" s="78"/>
      <c r="F11" s="78"/>
    </row>
    <row r="12" spans="1:6" ht="15" customHeight="1" x14ac:dyDescent="0.25">
      <c r="B12" s="78"/>
      <c r="C12" s="78"/>
      <c r="D12" s="78"/>
      <c r="E12" s="78"/>
      <c r="F12" s="78"/>
    </row>
    <row r="13" spans="1:6" ht="15" customHeight="1" x14ac:dyDescent="0.25">
      <c r="B13" s="78"/>
      <c r="C13" s="78"/>
      <c r="D13" s="78"/>
      <c r="E13" s="78"/>
      <c r="F13" s="78"/>
    </row>
    <row r="14" spans="1:6" ht="15" customHeight="1" x14ac:dyDescent="0.25">
      <c r="B14" s="78"/>
      <c r="C14" s="78"/>
      <c r="D14" s="78"/>
      <c r="E14" s="78"/>
      <c r="F14" s="78"/>
    </row>
    <row r="15" spans="1:6" ht="15" customHeight="1" x14ac:dyDescent="0.25">
      <c r="B15" s="78"/>
      <c r="C15" s="78"/>
      <c r="D15" s="78"/>
      <c r="E15" s="78"/>
      <c r="F15" s="78"/>
    </row>
    <row r="16" spans="1:6" ht="15" customHeight="1" x14ac:dyDescent="0.25">
      <c r="B16" s="78"/>
      <c r="C16" s="78"/>
      <c r="D16" s="78"/>
      <c r="E16" s="78"/>
      <c r="F16" s="78"/>
    </row>
    <row r="17" spans="2:6" ht="15" customHeight="1" x14ac:dyDescent="0.25">
      <c r="B17" s="78"/>
      <c r="C17" s="78"/>
      <c r="D17" s="78"/>
      <c r="E17" s="78"/>
      <c r="F17" s="78"/>
    </row>
    <row r="18" spans="2:6" ht="15" customHeight="1" x14ac:dyDescent="0.25">
      <c r="B18" s="78"/>
      <c r="C18" s="78"/>
      <c r="D18" s="78"/>
      <c r="E18" s="78"/>
      <c r="F18" s="78"/>
    </row>
    <row r="19" spans="2:6" ht="15" customHeight="1" x14ac:dyDescent="0.25">
      <c r="B19" s="78"/>
      <c r="C19" s="78"/>
      <c r="D19" s="78"/>
      <c r="E19" s="78"/>
      <c r="F19" s="78"/>
    </row>
    <row r="20" spans="2:6" ht="15" customHeight="1" x14ac:dyDescent="0.25">
      <c r="B20" s="78"/>
      <c r="C20" s="78"/>
      <c r="D20" s="78"/>
      <c r="E20" s="78"/>
      <c r="F20" s="78"/>
    </row>
    <row r="21" spans="2:6" ht="15" customHeight="1" thickBot="1" x14ac:dyDescent="0.3">
      <c r="C21" s="17"/>
      <c r="D21" s="17"/>
      <c r="E21" s="17"/>
      <c r="F21" s="17"/>
    </row>
    <row r="22" spans="2:6" ht="15" customHeight="1" thickBot="1" x14ac:dyDescent="0.3">
      <c r="B22" s="7" t="s">
        <v>10</v>
      </c>
      <c r="C22" s="9" t="s">
        <v>32</v>
      </c>
      <c r="D22" s="9" t="s">
        <v>33</v>
      </c>
      <c r="E22" s="9" t="s">
        <v>34</v>
      </c>
      <c r="F22" s="9" t="s">
        <v>38</v>
      </c>
    </row>
    <row r="23" spans="2:6" ht="18" thickBot="1" x14ac:dyDescent="0.3">
      <c r="B23" s="8">
        <v>3</v>
      </c>
      <c r="C23" s="11" t="s">
        <v>42</v>
      </c>
      <c r="D23" s="12" t="e">
        <f>+_xlfn.XLOOKUP(_xlfn.CONCAT("Unidad ",$A$4,"-",B23),cronograma!#REF!,cronograma!$J$19:$J$34,"-",0,1)</f>
        <v>#REF!</v>
      </c>
      <c r="E23" s="12" t="e">
        <f>+_xlfn.XLOOKUP(_xlfn.CONCAT("Unidad ",$A$4,"-",B23),cronograma!#REF!,cronograma!$K$19:$K$34,"-",0,1)</f>
        <v>#REF!</v>
      </c>
      <c r="F23" s="13">
        <v>100</v>
      </c>
    </row>
    <row r="25" spans="2:6" x14ac:dyDescent="0.25">
      <c r="B25" s="78" t="s">
        <v>52</v>
      </c>
      <c r="C25" s="78"/>
      <c r="D25" s="78"/>
      <c r="E25" s="78"/>
      <c r="F25" s="78"/>
    </row>
    <row r="26" spans="2:6" x14ac:dyDescent="0.25">
      <c r="B26" s="78"/>
      <c r="C26" s="78"/>
      <c r="D26" s="78"/>
      <c r="E26" s="78"/>
      <c r="F26" s="78"/>
    </row>
    <row r="27" spans="2:6" ht="32.25" customHeight="1" x14ac:dyDescent="0.25">
      <c r="B27" s="78"/>
      <c r="C27" s="78"/>
      <c r="D27" s="78"/>
      <c r="E27" s="78"/>
      <c r="F27" s="78"/>
    </row>
    <row r="28" spans="2:6" ht="26.25" customHeight="1" x14ac:dyDescent="0.25">
      <c r="B28" s="78"/>
      <c r="C28" s="78"/>
      <c r="D28" s="78"/>
      <c r="E28" s="78"/>
      <c r="F28" s="78"/>
    </row>
    <row r="29" spans="2:6" ht="26.25" customHeight="1" x14ac:dyDescent="0.25">
      <c r="B29" s="78"/>
      <c r="C29" s="78"/>
      <c r="D29" s="78"/>
      <c r="E29" s="78"/>
      <c r="F29" s="78"/>
    </row>
    <row r="30" spans="2:6" ht="26.25" customHeight="1" x14ac:dyDescent="0.25"/>
    <row r="31" spans="2:6" ht="26.25" customHeight="1" x14ac:dyDescent="0.25"/>
  </sheetData>
  <mergeCells count="5">
    <mergeCell ref="B3:F3"/>
    <mergeCell ref="B4:F4"/>
    <mergeCell ref="B5:F5"/>
    <mergeCell ref="B7:F20"/>
    <mergeCell ref="B25:F29"/>
  </mergeCells>
  <dataValidations count="1">
    <dataValidation type="list" allowBlank="1" showInputMessage="1" showErrorMessage="1" sqref="A4" xr:uid="{10C0E25F-2DA0-45B1-9D0B-6B476A8DE6C3}">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DE478-893D-4476-B6AE-723CF2E83E72}">
  <sheetPr codeName="Hoja19">
    <tabColor theme="4" tint="0.39997558519241921"/>
  </sheetPr>
  <dimension ref="A3:F31"/>
  <sheetViews>
    <sheetView view="pageLayout" zoomScale="85" zoomScaleNormal="100" zoomScalePageLayoutView="85" workbookViewId="0">
      <selection activeCell="B7" sqref="B7:F20"/>
    </sheetView>
  </sheetViews>
  <sheetFormatPr baseColWidth="10" defaultColWidth="11.5703125" defaultRowHeight="15" x14ac:dyDescent="0.25"/>
  <cols>
    <col min="1" max="1" width="4.7109375" customWidth="1"/>
    <col min="2" max="2" width="3.7109375" customWidth="1"/>
    <col min="3" max="3" width="25.5703125" customWidth="1"/>
    <col min="4" max="4" width="30.28515625" customWidth="1"/>
    <col min="5" max="6" width="11.28515625" bestFit="1" customWidth="1"/>
  </cols>
  <sheetData>
    <row r="3" spans="1:6" ht="21.75" customHeight="1" x14ac:dyDescent="0.25">
      <c r="B3" s="75" t="s">
        <v>29</v>
      </c>
      <c r="C3" s="75"/>
      <c r="D3" s="75"/>
      <c r="E3" s="75"/>
      <c r="F3" s="75"/>
    </row>
    <row r="4" spans="1:6" ht="18.75" x14ac:dyDescent="0.25">
      <c r="A4" s="16">
        <v>3</v>
      </c>
      <c r="B4" s="117" t="str">
        <f>+_xlfn.CONCAT("Unidad ",A4,": ",_xlfn.XLOOKUP(_xlfn.CONCAT("Unidad ",A4),Tabla5[Unidad],Tabla5[Nombre de la unidad],"",0,1))</f>
        <v>Unidad 3: Machine Learning para Big Data</v>
      </c>
      <c r="C4" s="117"/>
      <c r="D4" s="117"/>
      <c r="E4" s="117"/>
      <c r="F4" s="117"/>
    </row>
    <row r="5" spans="1:6" ht="15" customHeight="1" x14ac:dyDescent="0.25">
      <c r="B5" s="77" t="str">
        <f>+_xlfn.CONCAT("Descripción de las actividades ",A4,".3")</f>
        <v>Descripción de las actividades 3.3</v>
      </c>
      <c r="C5" s="77"/>
      <c r="D5" s="77"/>
      <c r="E5" s="77"/>
      <c r="F5" s="77"/>
    </row>
    <row r="6" spans="1:6" ht="15" customHeight="1" x14ac:dyDescent="0.25">
      <c r="C6" s="15"/>
      <c r="D6" s="15"/>
      <c r="E6" s="15"/>
      <c r="F6" s="15"/>
    </row>
    <row r="7" spans="1:6" ht="15.75" customHeight="1" x14ac:dyDescent="0.25">
      <c r="B7" s="78" t="s">
        <v>53</v>
      </c>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s="78"/>
      <c r="C10" s="78"/>
      <c r="D10" s="78"/>
      <c r="E10" s="78"/>
      <c r="F10" s="78"/>
    </row>
    <row r="11" spans="1:6" ht="15" customHeight="1" x14ac:dyDescent="0.25">
      <c r="B11" s="78"/>
      <c r="C11" s="78"/>
      <c r="D11" s="78"/>
      <c r="E11" s="78"/>
      <c r="F11" s="78"/>
    </row>
    <row r="12" spans="1:6" ht="15" customHeight="1" x14ac:dyDescent="0.25">
      <c r="B12" s="78"/>
      <c r="C12" s="78"/>
      <c r="D12" s="78"/>
      <c r="E12" s="78"/>
      <c r="F12" s="78"/>
    </row>
    <row r="13" spans="1:6" ht="15" customHeight="1" x14ac:dyDescent="0.25">
      <c r="B13" s="78"/>
      <c r="C13" s="78"/>
      <c r="D13" s="78"/>
      <c r="E13" s="78"/>
      <c r="F13" s="78"/>
    </row>
    <row r="14" spans="1:6" ht="15" customHeight="1" x14ac:dyDescent="0.25">
      <c r="B14" s="78"/>
      <c r="C14" s="78"/>
      <c r="D14" s="78"/>
      <c r="E14" s="78"/>
      <c r="F14" s="78"/>
    </row>
    <row r="15" spans="1:6" ht="15" customHeight="1" x14ac:dyDescent="0.25">
      <c r="B15" s="78"/>
      <c r="C15" s="78"/>
      <c r="D15" s="78"/>
      <c r="E15" s="78"/>
      <c r="F15" s="78"/>
    </row>
    <row r="16" spans="1:6" ht="15" customHeight="1" x14ac:dyDescent="0.25">
      <c r="B16" s="78"/>
      <c r="C16" s="78"/>
      <c r="D16" s="78"/>
      <c r="E16" s="78"/>
      <c r="F16" s="78"/>
    </row>
    <row r="17" spans="2:6" ht="15" customHeight="1" x14ac:dyDescent="0.25">
      <c r="B17" s="78"/>
      <c r="C17" s="78"/>
      <c r="D17" s="78"/>
      <c r="E17" s="78"/>
      <c r="F17" s="78"/>
    </row>
    <row r="18" spans="2:6" ht="15" customHeight="1" x14ac:dyDescent="0.25">
      <c r="B18" s="78"/>
      <c r="C18" s="78"/>
      <c r="D18" s="78"/>
      <c r="E18" s="78"/>
      <c r="F18" s="78"/>
    </row>
    <row r="19" spans="2:6" ht="15" customHeight="1" x14ac:dyDescent="0.25">
      <c r="B19" s="78"/>
      <c r="C19" s="78"/>
      <c r="D19" s="78"/>
      <c r="E19" s="78"/>
      <c r="F19" s="78"/>
    </row>
    <row r="20" spans="2:6" ht="15" customHeight="1" x14ac:dyDescent="0.25">
      <c r="B20" s="78"/>
      <c r="C20" s="78"/>
      <c r="D20" s="78"/>
      <c r="E20" s="78"/>
      <c r="F20" s="78"/>
    </row>
    <row r="21" spans="2:6" ht="15" customHeight="1" thickBot="1" x14ac:dyDescent="0.3">
      <c r="C21" s="17"/>
      <c r="D21" s="17"/>
      <c r="E21" s="17"/>
      <c r="F21" s="17"/>
    </row>
    <row r="22" spans="2:6" ht="15" customHeight="1" thickBot="1" x14ac:dyDescent="0.3">
      <c r="B22" s="7" t="s">
        <v>10</v>
      </c>
      <c r="C22" s="9" t="s">
        <v>32</v>
      </c>
      <c r="D22" s="9" t="s">
        <v>33</v>
      </c>
      <c r="E22" s="9" t="s">
        <v>34</v>
      </c>
      <c r="F22" s="9" t="s">
        <v>38</v>
      </c>
    </row>
    <row r="23" spans="2:6" ht="18" thickBot="1" x14ac:dyDescent="0.3">
      <c r="B23" s="8">
        <v>3</v>
      </c>
      <c r="C23" s="11" t="s">
        <v>42</v>
      </c>
      <c r="D23" s="12" t="e">
        <f>+_xlfn.XLOOKUP(_xlfn.CONCAT("Unidad ",$A$4,"-",B23),cronograma!#REF!,cronograma!$J$19:$J$34,"-",0,1)</f>
        <v>#REF!</v>
      </c>
      <c r="E23" s="12" t="e">
        <f>+_xlfn.XLOOKUP(_xlfn.CONCAT("Unidad ",$A$4,"-",B23),cronograma!#REF!,cronograma!$K$19:$K$34,"-",0,1)</f>
        <v>#REF!</v>
      </c>
      <c r="F23" s="13">
        <v>100</v>
      </c>
    </row>
    <row r="25" spans="2:6" x14ac:dyDescent="0.25">
      <c r="B25" s="78" t="s">
        <v>52</v>
      </c>
      <c r="C25" s="78"/>
      <c r="D25" s="78"/>
      <c r="E25" s="78"/>
      <c r="F25" s="78"/>
    </row>
    <row r="26" spans="2:6" x14ac:dyDescent="0.25">
      <c r="B26" s="78"/>
      <c r="C26" s="78"/>
      <c r="D26" s="78"/>
      <c r="E26" s="78"/>
      <c r="F26" s="78"/>
    </row>
    <row r="27" spans="2:6" ht="32.25" customHeight="1" x14ac:dyDescent="0.25">
      <c r="B27" s="78"/>
      <c r="C27" s="78"/>
      <c r="D27" s="78"/>
      <c r="E27" s="78"/>
      <c r="F27" s="78"/>
    </row>
    <row r="28" spans="2:6" ht="26.25" customHeight="1" x14ac:dyDescent="0.25">
      <c r="B28" s="78"/>
      <c r="C28" s="78"/>
      <c r="D28" s="78"/>
      <c r="E28" s="78"/>
      <c r="F28" s="78"/>
    </row>
    <row r="29" spans="2:6" ht="26.25" customHeight="1" x14ac:dyDescent="0.25">
      <c r="B29" s="78"/>
      <c r="C29" s="78"/>
      <c r="D29" s="78"/>
      <c r="E29" s="78"/>
      <c r="F29" s="78"/>
    </row>
    <row r="30" spans="2:6" ht="26.25" customHeight="1" x14ac:dyDescent="0.25"/>
    <row r="31" spans="2:6" ht="26.25" customHeight="1" x14ac:dyDescent="0.25"/>
  </sheetData>
  <mergeCells count="5">
    <mergeCell ref="B3:F3"/>
    <mergeCell ref="B4:F4"/>
    <mergeCell ref="B5:F5"/>
    <mergeCell ref="B7:F20"/>
    <mergeCell ref="B25:F29"/>
  </mergeCells>
  <dataValidations count="1">
    <dataValidation type="list" allowBlank="1" showInputMessage="1" showErrorMessage="1" sqref="A4" xr:uid="{25F2E35A-51C1-4C1D-84BD-0AF5E1713809}">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606A-CCB5-429C-9F21-7C0B6EAD8BCC}">
  <sheetPr codeName="Hoja20">
    <tabColor theme="4" tint="0.39997558519241921"/>
  </sheetPr>
  <dimension ref="A3:F31"/>
  <sheetViews>
    <sheetView view="pageLayout" zoomScale="85" zoomScaleNormal="100" zoomScalePageLayoutView="85" workbookViewId="0">
      <selection activeCell="D23" sqref="D23"/>
    </sheetView>
  </sheetViews>
  <sheetFormatPr baseColWidth="10" defaultColWidth="11.5703125" defaultRowHeight="15" x14ac:dyDescent="0.25"/>
  <cols>
    <col min="1" max="1" width="4.7109375" customWidth="1"/>
    <col min="2" max="2" width="3.7109375" customWidth="1"/>
    <col min="3" max="3" width="25.5703125" customWidth="1"/>
    <col min="4" max="4" width="30.28515625" customWidth="1"/>
    <col min="5" max="6" width="11.28515625" bestFit="1" customWidth="1"/>
  </cols>
  <sheetData>
    <row r="3" spans="1:6" ht="21.75" customHeight="1" x14ac:dyDescent="0.25">
      <c r="B3" s="75" t="s">
        <v>29</v>
      </c>
      <c r="C3" s="75"/>
      <c r="D3" s="75"/>
      <c r="E3" s="75"/>
      <c r="F3" s="75"/>
    </row>
    <row r="4" spans="1:6" ht="18.75" x14ac:dyDescent="0.25">
      <c r="A4" s="16">
        <v>4</v>
      </c>
      <c r="B4" s="117" t="str">
        <f>+_xlfn.CONCAT("Unidad ",A4,": ",_xlfn.XLOOKUP(_xlfn.CONCAT("Unidad ",A4),Tabla5[Unidad],Tabla5[Nombre de la unidad],"",0,1))</f>
        <v>Unidad 4: Interpretación de los resultados y modelos estadísticos en Big Data</v>
      </c>
      <c r="C4" s="117"/>
      <c r="D4" s="117"/>
      <c r="E4" s="117"/>
      <c r="F4" s="117"/>
    </row>
    <row r="5" spans="1:6" ht="15" customHeight="1" x14ac:dyDescent="0.25">
      <c r="B5" s="77" t="str">
        <f>+_xlfn.CONCAT("Descripción de las actividades ",A4,".3")</f>
        <v>Descripción de las actividades 4.3</v>
      </c>
      <c r="C5" s="77"/>
      <c r="D5" s="77"/>
      <c r="E5" s="77"/>
      <c r="F5" s="77"/>
    </row>
    <row r="6" spans="1:6" ht="15" customHeight="1" x14ac:dyDescent="0.25">
      <c r="C6" s="15"/>
      <c r="D6" s="15"/>
      <c r="E6" s="15"/>
      <c r="F6" s="15"/>
    </row>
    <row r="7" spans="1:6" ht="15.75" customHeight="1" x14ac:dyDescent="0.25">
      <c r="B7" s="78" t="s">
        <v>53</v>
      </c>
      <c r="C7" s="78"/>
      <c r="D7" s="78"/>
      <c r="E7" s="78"/>
      <c r="F7" s="78"/>
    </row>
    <row r="8" spans="1:6" ht="15" customHeight="1" x14ac:dyDescent="0.25">
      <c r="B8" s="78"/>
      <c r="C8" s="78"/>
      <c r="D8" s="78"/>
      <c r="E8" s="78"/>
      <c r="F8" s="78"/>
    </row>
    <row r="9" spans="1:6" ht="15" customHeight="1" x14ac:dyDescent="0.25">
      <c r="B9" s="78"/>
      <c r="C9" s="78"/>
      <c r="D9" s="78"/>
      <c r="E9" s="78"/>
      <c r="F9" s="78"/>
    </row>
    <row r="10" spans="1:6" ht="15" customHeight="1" x14ac:dyDescent="0.25">
      <c r="B10" s="78"/>
      <c r="C10" s="78"/>
      <c r="D10" s="78"/>
      <c r="E10" s="78"/>
      <c r="F10" s="78"/>
    </row>
    <row r="11" spans="1:6" ht="15" customHeight="1" x14ac:dyDescent="0.25">
      <c r="B11" s="78"/>
      <c r="C11" s="78"/>
      <c r="D11" s="78"/>
      <c r="E11" s="78"/>
      <c r="F11" s="78"/>
    </row>
    <row r="12" spans="1:6" ht="15" customHeight="1" x14ac:dyDescent="0.25">
      <c r="B12" s="78"/>
      <c r="C12" s="78"/>
      <c r="D12" s="78"/>
      <c r="E12" s="78"/>
      <c r="F12" s="78"/>
    </row>
    <row r="13" spans="1:6" ht="15" customHeight="1" x14ac:dyDescent="0.25">
      <c r="B13" s="78"/>
      <c r="C13" s="78"/>
      <c r="D13" s="78"/>
      <c r="E13" s="78"/>
      <c r="F13" s="78"/>
    </row>
    <row r="14" spans="1:6" ht="15" customHeight="1" x14ac:dyDescent="0.25">
      <c r="B14" s="78"/>
      <c r="C14" s="78"/>
      <c r="D14" s="78"/>
      <c r="E14" s="78"/>
      <c r="F14" s="78"/>
    </row>
    <row r="15" spans="1:6" ht="15" customHeight="1" x14ac:dyDescent="0.25">
      <c r="B15" s="78"/>
      <c r="C15" s="78"/>
      <c r="D15" s="78"/>
      <c r="E15" s="78"/>
      <c r="F15" s="78"/>
    </row>
    <row r="16" spans="1:6" ht="15" customHeight="1" x14ac:dyDescent="0.25">
      <c r="B16" s="78"/>
      <c r="C16" s="78"/>
      <c r="D16" s="78"/>
      <c r="E16" s="78"/>
      <c r="F16" s="78"/>
    </row>
    <row r="17" spans="2:6" ht="15" customHeight="1" x14ac:dyDescent="0.25">
      <c r="B17" s="78"/>
      <c r="C17" s="78"/>
      <c r="D17" s="78"/>
      <c r="E17" s="78"/>
      <c r="F17" s="78"/>
    </row>
    <row r="18" spans="2:6" ht="15" customHeight="1" x14ac:dyDescent="0.25">
      <c r="B18" s="78"/>
      <c r="C18" s="78"/>
      <c r="D18" s="78"/>
      <c r="E18" s="78"/>
      <c r="F18" s="78"/>
    </row>
    <row r="19" spans="2:6" ht="15" customHeight="1" x14ac:dyDescent="0.25">
      <c r="B19" s="78"/>
      <c r="C19" s="78"/>
      <c r="D19" s="78"/>
      <c r="E19" s="78"/>
      <c r="F19" s="78"/>
    </row>
    <row r="20" spans="2:6" ht="15" customHeight="1" x14ac:dyDescent="0.25">
      <c r="B20" s="78"/>
      <c r="C20" s="78"/>
      <c r="D20" s="78"/>
      <c r="E20" s="78"/>
      <c r="F20" s="78"/>
    </row>
    <row r="21" spans="2:6" ht="15" customHeight="1" thickBot="1" x14ac:dyDescent="0.3">
      <c r="C21" s="17"/>
      <c r="D21" s="17"/>
      <c r="E21" s="17"/>
      <c r="F21" s="17"/>
    </row>
    <row r="22" spans="2:6" ht="15" customHeight="1" thickBot="1" x14ac:dyDescent="0.3">
      <c r="B22" s="7" t="s">
        <v>10</v>
      </c>
      <c r="C22" s="9" t="s">
        <v>32</v>
      </c>
      <c r="D22" s="9" t="s">
        <v>33</v>
      </c>
      <c r="E22" s="9" t="s">
        <v>34</v>
      </c>
      <c r="F22" s="9" t="s">
        <v>38</v>
      </c>
    </row>
    <row r="23" spans="2:6" ht="18" thickBot="1" x14ac:dyDescent="0.3">
      <c r="B23" s="8">
        <v>3</v>
      </c>
      <c r="C23" s="11" t="s">
        <v>42</v>
      </c>
      <c r="D23" s="12" t="e">
        <f>+_xlfn.XLOOKUP(_xlfn.CONCAT("Unidad ",$A$4,"-",B23),cronograma!#REF!,cronograma!$J$19:$J$34,"-",0,1)</f>
        <v>#REF!</v>
      </c>
      <c r="E23" s="12" t="e">
        <f>+_xlfn.XLOOKUP(_xlfn.CONCAT("Unidad ",$A$4,"-",B23),cronograma!#REF!,cronograma!$K$19:$K$34,"-",0,1)</f>
        <v>#REF!</v>
      </c>
      <c r="F23" s="13">
        <v>100</v>
      </c>
    </row>
    <row r="25" spans="2:6" x14ac:dyDescent="0.25">
      <c r="B25" s="78" t="s">
        <v>52</v>
      </c>
      <c r="C25" s="78"/>
      <c r="D25" s="78"/>
      <c r="E25" s="78"/>
      <c r="F25" s="78"/>
    </row>
    <row r="26" spans="2:6" x14ac:dyDescent="0.25">
      <c r="B26" s="78"/>
      <c r="C26" s="78"/>
      <c r="D26" s="78"/>
      <c r="E26" s="78"/>
      <c r="F26" s="78"/>
    </row>
    <row r="27" spans="2:6" ht="32.25" customHeight="1" x14ac:dyDescent="0.25">
      <c r="B27" s="78"/>
      <c r="C27" s="78"/>
      <c r="D27" s="78"/>
      <c r="E27" s="78"/>
      <c r="F27" s="78"/>
    </row>
    <row r="28" spans="2:6" ht="26.25" customHeight="1" x14ac:dyDescent="0.25">
      <c r="B28" s="78"/>
      <c r="C28" s="78"/>
      <c r="D28" s="78"/>
      <c r="E28" s="78"/>
      <c r="F28" s="78"/>
    </row>
    <row r="29" spans="2:6" ht="26.25" customHeight="1" x14ac:dyDescent="0.25">
      <c r="B29" s="78"/>
      <c r="C29" s="78"/>
      <c r="D29" s="78"/>
      <c r="E29" s="78"/>
      <c r="F29" s="78"/>
    </row>
    <row r="30" spans="2:6" ht="26.25" customHeight="1" x14ac:dyDescent="0.25"/>
    <row r="31" spans="2:6" ht="26.25" customHeight="1" x14ac:dyDescent="0.25"/>
  </sheetData>
  <mergeCells count="5">
    <mergeCell ref="B3:F3"/>
    <mergeCell ref="B4:F4"/>
    <mergeCell ref="B5:F5"/>
    <mergeCell ref="B7:F20"/>
    <mergeCell ref="B25:F29"/>
  </mergeCells>
  <dataValidations count="1">
    <dataValidation type="list" allowBlank="1" showInputMessage="1" showErrorMessage="1" sqref="A4" xr:uid="{8FBC2A8E-FCC4-4BAD-B1A1-E56C91FA2F62}">
      <formula1>"1,2,3,4,5"</formula1>
    </dataValidation>
  </dataValidations>
  <pageMargins left="0.23622047244094491" right="0.23622047244094491" top="0.74803149606299213" bottom="0.74803149606299213" header="0.31496062992125984" footer="0.11811023622047245"/>
  <pageSetup paperSize="9" orientation="portrait" r:id="rId1"/>
  <headerFooter>
    <oddHeader>&amp;C&amp;G</oddHeader>
    <oddFooter>&amp;C&amp;G</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A236C-28E8-4CE7-B69C-733599F6097C}">
  <sheetPr codeName="Hoja21"/>
  <dimension ref="A1:C164"/>
  <sheetViews>
    <sheetView workbookViewId="0">
      <selection activeCell="C2" sqref="C2"/>
    </sheetView>
  </sheetViews>
  <sheetFormatPr baseColWidth="10" defaultColWidth="10.7109375" defaultRowHeight="15" x14ac:dyDescent="0.25"/>
  <cols>
    <col min="3" max="3" width="42.5703125" bestFit="1" customWidth="1"/>
  </cols>
  <sheetData>
    <row r="1" spans="1:3" x14ac:dyDescent="0.25">
      <c r="A1" t="s">
        <v>62</v>
      </c>
      <c r="B1" t="s">
        <v>63</v>
      </c>
      <c r="C1" t="s">
        <v>64</v>
      </c>
    </row>
    <row r="2" spans="1:3" x14ac:dyDescent="0.25">
      <c r="A2" t="s">
        <v>65</v>
      </c>
      <c r="B2" t="s">
        <v>66</v>
      </c>
      <c r="C2" t="s">
        <v>67</v>
      </c>
    </row>
    <row r="3" spans="1:3" x14ac:dyDescent="0.25">
      <c r="A3" t="s">
        <v>68</v>
      </c>
      <c r="B3" t="s">
        <v>66</v>
      </c>
      <c r="C3" t="s">
        <v>69</v>
      </c>
    </row>
    <row r="4" spans="1:3" x14ac:dyDescent="0.25">
      <c r="A4" t="s">
        <v>70</v>
      </c>
      <c r="B4" t="s">
        <v>66</v>
      </c>
      <c r="C4" t="s">
        <v>71</v>
      </c>
    </row>
    <row r="5" spans="1:3" x14ac:dyDescent="0.25">
      <c r="A5" t="s">
        <v>72</v>
      </c>
      <c r="B5" t="s">
        <v>66</v>
      </c>
      <c r="C5" t="s">
        <v>73</v>
      </c>
    </row>
    <row r="6" spans="1:3" x14ac:dyDescent="0.25">
      <c r="A6" t="s">
        <v>74</v>
      </c>
      <c r="B6" t="s">
        <v>66</v>
      </c>
      <c r="C6" t="s">
        <v>75</v>
      </c>
    </row>
    <row r="7" spans="1:3" x14ac:dyDescent="0.25">
      <c r="A7" t="s">
        <v>76</v>
      </c>
      <c r="B7" t="s">
        <v>66</v>
      </c>
      <c r="C7" t="s">
        <v>77</v>
      </c>
    </row>
    <row r="8" spans="1:3" x14ac:dyDescent="0.25">
      <c r="A8" t="s">
        <v>78</v>
      </c>
      <c r="B8" t="s">
        <v>66</v>
      </c>
      <c r="C8" t="s">
        <v>79</v>
      </c>
    </row>
    <row r="9" spans="1:3" x14ac:dyDescent="0.25">
      <c r="A9" t="s">
        <v>80</v>
      </c>
      <c r="B9" t="s">
        <v>66</v>
      </c>
      <c r="C9" t="s">
        <v>81</v>
      </c>
    </row>
    <row r="10" spans="1:3" x14ac:dyDescent="0.25">
      <c r="A10" t="s">
        <v>82</v>
      </c>
      <c r="B10" t="s">
        <v>66</v>
      </c>
      <c r="C10" t="s">
        <v>29</v>
      </c>
    </row>
    <row r="11" spans="1:3" x14ac:dyDescent="0.25">
      <c r="A11" t="s">
        <v>83</v>
      </c>
      <c r="B11" t="s">
        <v>66</v>
      </c>
      <c r="C11" t="s">
        <v>84</v>
      </c>
    </row>
    <row r="12" spans="1:3" x14ac:dyDescent="0.25">
      <c r="A12" t="s">
        <v>85</v>
      </c>
      <c r="B12" t="s">
        <v>66</v>
      </c>
      <c r="C12" t="s">
        <v>86</v>
      </c>
    </row>
    <row r="13" spans="1:3" x14ac:dyDescent="0.25">
      <c r="A13" t="s">
        <v>87</v>
      </c>
      <c r="B13" t="s">
        <v>66</v>
      </c>
      <c r="C13" t="s">
        <v>88</v>
      </c>
    </row>
    <row r="14" spans="1:3" x14ac:dyDescent="0.25">
      <c r="A14" t="s">
        <v>89</v>
      </c>
      <c r="B14" t="s">
        <v>66</v>
      </c>
      <c r="C14" t="s">
        <v>90</v>
      </c>
    </row>
    <row r="15" spans="1:3" x14ac:dyDescent="0.25">
      <c r="A15" t="s">
        <v>91</v>
      </c>
      <c r="B15" t="s">
        <v>66</v>
      </c>
      <c r="C15" t="s">
        <v>92</v>
      </c>
    </row>
    <row r="16" spans="1:3" x14ac:dyDescent="0.25">
      <c r="A16" t="s">
        <v>93</v>
      </c>
      <c r="B16" t="s">
        <v>66</v>
      </c>
      <c r="C16" t="s">
        <v>94</v>
      </c>
    </row>
    <row r="17" spans="1:3" x14ac:dyDescent="0.25">
      <c r="A17" t="s">
        <v>95</v>
      </c>
      <c r="B17" t="s">
        <v>66</v>
      </c>
      <c r="C17" t="s">
        <v>96</v>
      </c>
    </row>
    <row r="18" spans="1:3" x14ac:dyDescent="0.25">
      <c r="A18" t="s">
        <v>97</v>
      </c>
      <c r="B18" t="s">
        <v>66</v>
      </c>
      <c r="C18" t="s">
        <v>98</v>
      </c>
    </row>
    <row r="19" spans="1:3" x14ac:dyDescent="0.25">
      <c r="A19" t="s">
        <v>99</v>
      </c>
      <c r="B19" t="s">
        <v>66</v>
      </c>
      <c r="C19" t="s">
        <v>100</v>
      </c>
    </row>
    <row r="20" spans="1:3" x14ac:dyDescent="0.25">
      <c r="A20" t="s">
        <v>101</v>
      </c>
      <c r="B20" t="s">
        <v>66</v>
      </c>
      <c r="C20" t="s">
        <v>102</v>
      </c>
    </row>
    <row r="21" spans="1:3" x14ac:dyDescent="0.25">
      <c r="A21" t="s">
        <v>103</v>
      </c>
      <c r="B21" t="s">
        <v>66</v>
      </c>
      <c r="C21" t="s">
        <v>104</v>
      </c>
    </row>
    <row r="22" spans="1:3" x14ac:dyDescent="0.25">
      <c r="A22" t="s">
        <v>105</v>
      </c>
      <c r="B22" t="s">
        <v>66</v>
      </c>
      <c r="C22" t="s">
        <v>106</v>
      </c>
    </row>
    <row r="23" spans="1:3" x14ac:dyDescent="0.25">
      <c r="A23" t="s">
        <v>107</v>
      </c>
      <c r="B23" t="s">
        <v>66</v>
      </c>
      <c r="C23" t="s">
        <v>108</v>
      </c>
    </row>
    <row r="24" spans="1:3" x14ac:dyDescent="0.25">
      <c r="A24" t="s">
        <v>109</v>
      </c>
      <c r="B24" t="s">
        <v>66</v>
      </c>
      <c r="C24" t="s">
        <v>110</v>
      </c>
    </row>
    <row r="25" spans="1:3" x14ac:dyDescent="0.25">
      <c r="A25" t="s">
        <v>111</v>
      </c>
      <c r="B25" t="s">
        <v>66</v>
      </c>
      <c r="C25" t="s">
        <v>112</v>
      </c>
    </row>
    <row r="26" spans="1:3" x14ac:dyDescent="0.25">
      <c r="A26" t="s">
        <v>113</v>
      </c>
      <c r="B26" t="s">
        <v>66</v>
      </c>
      <c r="C26" t="s">
        <v>114</v>
      </c>
    </row>
    <row r="27" spans="1:3" x14ac:dyDescent="0.25">
      <c r="A27" t="s">
        <v>115</v>
      </c>
      <c r="B27" t="s">
        <v>66</v>
      </c>
      <c r="C27" t="s">
        <v>116</v>
      </c>
    </row>
    <row r="28" spans="1:3" x14ac:dyDescent="0.25">
      <c r="A28" t="s">
        <v>117</v>
      </c>
      <c r="B28" t="s">
        <v>66</v>
      </c>
      <c r="C28" t="s">
        <v>118</v>
      </c>
    </row>
    <row r="29" spans="1:3" x14ac:dyDescent="0.25">
      <c r="A29" t="s">
        <v>119</v>
      </c>
      <c r="B29" t="s">
        <v>66</v>
      </c>
      <c r="C29" t="s">
        <v>120</v>
      </c>
    </row>
    <row r="30" spans="1:3" x14ac:dyDescent="0.25">
      <c r="A30" t="s">
        <v>121</v>
      </c>
      <c r="B30" t="s">
        <v>66</v>
      </c>
      <c r="C30" t="s">
        <v>122</v>
      </c>
    </row>
    <row r="31" spans="1:3" x14ac:dyDescent="0.25">
      <c r="A31" t="s">
        <v>123</v>
      </c>
      <c r="B31" t="s">
        <v>66</v>
      </c>
      <c r="C31" t="s">
        <v>124</v>
      </c>
    </row>
    <row r="32" spans="1:3" x14ac:dyDescent="0.25">
      <c r="A32" t="s">
        <v>125</v>
      </c>
      <c r="B32" t="s">
        <v>66</v>
      </c>
      <c r="C32" t="s">
        <v>126</v>
      </c>
    </row>
    <row r="33" spans="1:3" x14ac:dyDescent="0.25">
      <c r="A33" t="s">
        <v>127</v>
      </c>
      <c r="B33" t="s">
        <v>66</v>
      </c>
      <c r="C33" t="s">
        <v>128</v>
      </c>
    </row>
    <row r="34" spans="1:3" x14ac:dyDescent="0.25">
      <c r="A34" t="s">
        <v>129</v>
      </c>
      <c r="B34" t="s">
        <v>66</v>
      </c>
      <c r="C34" t="s">
        <v>130</v>
      </c>
    </row>
    <row r="35" spans="1:3" x14ac:dyDescent="0.25">
      <c r="A35" t="s">
        <v>131</v>
      </c>
      <c r="B35" t="s">
        <v>66</v>
      </c>
      <c r="C35" t="s">
        <v>132</v>
      </c>
    </row>
    <row r="36" spans="1:3" x14ac:dyDescent="0.25">
      <c r="A36" t="s">
        <v>133</v>
      </c>
      <c r="B36" t="s">
        <v>66</v>
      </c>
      <c r="C36" t="s">
        <v>134</v>
      </c>
    </row>
    <row r="37" spans="1:3" x14ac:dyDescent="0.25">
      <c r="A37" t="s">
        <v>135</v>
      </c>
      <c r="B37" t="s">
        <v>66</v>
      </c>
      <c r="C37" t="s">
        <v>136</v>
      </c>
    </row>
    <row r="38" spans="1:3" x14ac:dyDescent="0.25">
      <c r="A38" t="s">
        <v>137</v>
      </c>
      <c r="B38" t="s">
        <v>66</v>
      </c>
      <c r="C38" t="s">
        <v>138</v>
      </c>
    </row>
    <row r="39" spans="1:3" x14ac:dyDescent="0.25">
      <c r="A39" t="s">
        <v>139</v>
      </c>
      <c r="B39" t="s">
        <v>66</v>
      </c>
      <c r="C39" t="s">
        <v>140</v>
      </c>
    </row>
    <row r="40" spans="1:3" x14ac:dyDescent="0.25">
      <c r="A40" t="s">
        <v>141</v>
      </c>
      <c r="B40" t="s">
        <v>66</v>
      </c>
      <c r="C40" t="s">
        <v>142</v>
      </c>
    </row>
    <row r="41" spans="1:3" x14ac:dyDescent="0.25">
      <c r="A41" t="s">
        <v>143</v>
      </c>
      <c r="B41" t="s">
        <v>66</v>
      </c>
      <c r="C41" t="s">
        <v>144</v>
      </c>
    </row>
    <row r="42" spans="1:3" x14ac:dyDescent="0.25">
      <c r="A42" t="s">
        <v>65</v>
      </c>
      <c r="B42" t="s">
        <v>145</v>
      </c>
      <c r="C42" t="s">
        <v>67</v>
      </c>
    </row>
    <row r="43" spans="1:3" x14ac:dyDescent="0.25">
      <c r="A43" t="s">
        <v>146</v>
      </c>
      <c r="B43" t="s">
        <v>145</v>
      </c>
      <c r="C43" t="s">
        <v>147</v>
      </c>
    </row>
    <row r="44" spans="1:3" x14ac:dyDescent="0.25">
      <c r="A44" t="s">
        <v>148</v>
      </c>
      <c r="B44" t="s">
        <v>145</v>
      </c>
      <c r="C44" t="s">
        <v>149</v>
      </c>
    </row>
    <row r="45" spans="1:3" x14ac:dyDescent="0.25">
      <c r="A45" t="s">
        <v>150</v>
      </c>
      <c r="B45" t="s">
        <v>145</v>
      </c>
      <c r="C45" t="s">
        <v>151</v>
      </c>
    </row>
    <row r="46" spans="1:3" x14ac:dyDescent="0.25">
      <c r="A46" t="s">
        <v>152</v>
      </c>
      <c r="B46" t="s">
        <v>145</v>
      </c>
      <c r="C46" t="s">
        <v>153</v>
      </c>
    </row>
    <row r="47" spans="1:3" x14ac:dyDescent="0.25">
      <c r="A47" t="s">
        <v>154</v>
      </c>
      <c r="B47" t="s">
        <v>145</v>
      </c>
      <c r="C47" t="s">
        <v>155</v>
      </c>
    </row>
    <row r="48" spans="1:3" x14ac:dyDescent="0.25">
      <c r="A48" t="s">
        <v>83</v>
      </c>
      <c r="B48" t="s">
        <v>145</v>
      </c>
      <c r="C48" t="s">
        <v>84</v>
      </c>
    </row>
    <row r="49" spans="1:3" x14ac:dyDescent="0.25">
      <c r="A49" t="s">
        <v>156</v>
      </c>
      <c r="B49" t="s">
        <v>145</v>
      </c>
      <c r="C49" t="s">
        <v>157</v>
      </c>
    </row>
    <row r="50" spans="1:3" x14ac:dyDescent="0.25">
      <c r="A50" t="s">
        <v>89</v>
      </c>
      <c r="B50" t="s">
        <v>145</v>
      </c>
      <c r="C50" t="s">
        <v>90</v>
      </c>
    </row>
    <row r="51" spans="1:3" x14ac:dyDescent="0.25">
      <c r="A51" t="s">
        <v>158</v>
      </c>
      <c r="B51" t="s">
        <v>145</v>
      </c>
      <c r="C51" t="s">
        <v>159</v>
      </c>
    </row>
    <row r="52" spans="1:3" x14ac:dyDescent="0.25">
      <c r="A52" t="s">
        <v>158</v>
      </c>
      <c r="B52" t="s">
        <v>145</v>
      </c>
      <c r="C52" t="s">
        <v>160</v>
      </c>
    </row>
    <row r="53" spans="1:3" x14ac:dyDescent="0.25">
      <c r="A53" t="s">
        <v>93</v>
      </c>
      <c r="B53" t="s">
        <v>145</v>
      </c>
      <c r="C53" t="s">
        <v>94</v>
      </c>
    </row>
    <row r="54" spans="1:3" x14ac:dyDescent="0.25">
      <c r="A54" t="s">
        <v>95</v>
      </c>
      <c r="B54" t="s">
        <v>145</v>
      </c>
      <c r="C54" t="s">
        <v>96</v>
      </c>
    </row>
    <row r="55" spans="1:3" x14ac:dyDescent="0.25">
      <c r="A55" t="s">
        <v>97</v>
      </c>
      <c r="B55" t="s">
        <v>145</v>
      </c>
      <c r="C55" t="s">
        <v>98</v>
      </c>
    </row>
    <row r="56" spans="1:3" x14ac:dyDescent="0.25">
      <c r="A56" t="s">
        <v>99</v>
      </c>
      <c r="B56" t="s">
        <v>145</v>
      </c>
      <c r="C56" t="s">
        <v>100</v>
      </c>
    </row>
    <row r="57" spans="1:3" x14ac:dyDescent="0.25">
      <c r="A57" t="s">
        <v>161</v>
      </c>
      <c r="B57" t="s">
        <v>145</v>
      </c>
      <c r="C57" t="s">
        <v>162</v>
      </c>
    </row>
    <row r="58" spans="1:3" x14ac:dyDescent="0.25">
      <c r="A58" t="s">
        <v>163</v>
      </c>
      <c r="B58" t="s">
        <v>145</v>
      </c>
      <c r="C58" t="s">
        <v>164</v>
      </c>
    </row>
    <row r="59" spans="1:3" x14ac:dyDescent="0.25">
      <c r="A59" t="s">
        <v>163</v>
      </c>
      <c r="B59" t="s">
        <v>145</v>
      </c>
      <c r="C59" t="s">
        <v>165</v>
      </c>
    </row>
    <row r="60" spans="1:3" x14ac:dyDescent="0.25">
      <c r="A60" t="s">
        <v>166</v>
      </c>
      <c r="B60" t="s">
        <v>145</v>
      </c>
      <c r="C60" t="s">
        <v>167</v>
      </c>
    </row>
    <row r="61" spans="1:3" x14ac:dyDescent="0.25">
      <c r="A61" t="s">
        <v>101</v>
      </c>
      <c r="B61" t="s">
        <v>145</v>
      </c>
      <c r="C61" t="s">
        <v>102</v>
      </c>
    </row>
    <row r="62" spans="1:3" x14ac:dyDescent="0.25">
      <c r="A62" t="s">
        <v>168</v>
      </c>
      <c r="B62" t="s">
        <v>145</v>
      </c>
      <c r="C62" t="s">
        <v>169</v>
      </c>
    </row>
    <row r="63" spans="1:3" x14ac:dyDescent="0.25">
      <c r="A63" t="s">
        <v>170</v>
      </c>
      <c r="B63" t="s">
        <v>145</v>
      </c>
      <c r="C63" t="s">
        <v>171</v>
      </c>
    </row>
    <row r="64" spans="1:3" x14ac:dyDescent="0.25">
      <c r="A64" t="s">
        <v>170</v>
      </c>
      <c r="B64" t="s">
        <v>145</v>
      </c>
      <c r="C64" t="s">
        <v>172</v>
      </c>
    </row>
    <row r="65" spans="1:3" x14ac:dyDescent="0.25">
      <c r="A65" t="s">
        <v>173</v>
      </c>
      <c r="B65" t="s">
        <v>145</v>
      </c>
      <c r="C65" t="s">
        <v>174</v>
      </c>
    </row>
    <row r="66" spans="1:3" x14ac:dyDescent="0.25">
      <c r="A66" t="s">
        <v>107</v>
      </c>
      <c r="B66" t="s">
        <v>145</v>
      </c>
      <c r="C66" t="s">
        <v>108</v>
      </c>
    </row>
    <row r="67" spans="1:3" x14ac:dyDescent="0.25">
      <c r="A67" t="s">
        <v>175</v>
      </c>
      <c r="B67" t="s">
        <v>145</v>
      </c>
      <c r="C67" t="s">
        <v>176</v>
      </c>
    </row>
    <row r="68" spans="1:3" x14ac:dyDescent="0.25">
      <c r="A68" t="s">
        <v>177</v>
      </c>
      <c r="B68" t="s">
        <v>145</v>
      </c>
      <c r="C68" t="s">
        <v>178</v>
      </c>
    </row>
    <row r="69" spans="1:3" x14ac:dyDescent="0.25">
      <c r="A69" t="s">
        <v>113</v>
      </c>
      <c r="B69" t="s">
        <v>145</v>
      </c>
      <c r="C69" t="s">
        <v>114</v>
      </c>
    </row>
    <row r="70" spans="1:3" x14ac:dyDescent="0.25">
      <c r="A70" t="s">
        <v>115</v>
      </c>
      <c r="B70" t="s">
        <v>145</v>
      </c>
      <c r="C70" t="s">
        <v>116</v>
      </c>
    </row>
    <row r="71" spans="1:3" x14ac:dyDescent="0.25">
      <c r="A71" t="s">
        <v>179</v>
      </c>
      <c r="B71" t="s">
        <v>145</v>
      </c>
      <c r="C71" t="s">
        <v>180</v>
      </c>
    </row>
    <row r="72" spans="1:3" x14ac:dyDescent="0.25">
      <c r="A72" t="s">
        <v>179</v>
      </c>
      <c r="B72" t="s">
        <v>145</v>
      </c>
      <c r="C72" t="s">
        <v>181</v>
      </c>
    </row>
    <row r="73" spans="1:3" x14ac:dyDescent="0.25">
      <c r="A73" t="s">
        <v>123</v>
      </c>
      <c r="B73" t="s">
        <v>145</v>
      </c>
      <c r="C73" t="s">
        <v>124</v>
      </c>
    </row>
    <row r="74" spans="1:3" x14ac:dyDescent="0.25">
      <c r="A74" t="s">
        <v>125</v>
      </c>
      <c r="B74" t="s">
        <v>145</v>
      </c>
      <c r="C74" t="s">
        <v>126</v>
      </c>
    </row>
    <row r="75" spans="1:3" x14ac:dyDescent="0.25">
      <c r="A75" t="s">
        <v>182</v>
      </c>
      <c r="B75" t="s">
        <v>145</v>
      </c>
      <c r="C75" t="s">
        <v>183</v>
      </c>
    </row>
    <row r="76" spans="1:3" x14ac:dyDescent="0.25">
      <c r="A76" t="s">
        <v>182</v>
      </c>
      <c r="B76" t="s">
        <v>145</v>
      </c>
      <c r="C76" t="s">
        <v>184</v>
      </c>
    </row>
    <row r="77" spans="1:3" x14ac:dyDescent="0.25">
      <c r="A77" t="s">
        <v>127</v>
      </c>
      <c r="B77" t="s">
        <v>145</v>
      </c>
      <c r="C77" t="s">
        <v>128</v>
      </c>
    </row>
    <row r="78" spans="1:3" x14ac:dyDescent="0.25">
      <c r="A78" t="s">
        <v>185</v>
      </c>
      <c r="B78" t="s">
        <v>145</v>
      </c>
      <c r="C78" t="s">
        <v>186</v>
      </c>
    </row>
    <row r="79" spans="1:3" x14ac:dyDescent="0.25">
      <c r="A79" t="s">
        <v>185</v>
      </c>
      <c r="B79" t="s">
        <v>145</v>
      </c>
      <c r="C79" t="s">
        <v>187</v>
      </c>
    </row>
    <row r="80" spans="1:3" x14ac:dyDescent="0.25">
      <c r="A80" t="s">
        <v>188</v>
      </c>
      <c r="B80" t="s">
        <v>145</v>
      </c>
      <c r="C80" t="s">
        <v>189</v>
      </c>
    </row>
    <row r="81" spans="1:3" x14ac:dyDescent="0.25">
      <c r="A81" t="s">
        <v>190</v>
      </c>
      <c r="B81" t="s">
        <v>145</v>
      </c>
      <c r="C81" t="s">
        <v>191</v>
      </c>
    </row>
    <row r="82" spans="1:3" x14ac:dyDescent="0.25">
      <c r="A82" t="s">
        <v>139</v>
      </c>
      <c r="B82" t="s">
        <v>145</v>
      </c>
      <c r="C82" t="s">
        <v>140</v>
      </c>
    </row>
    <row r="83" spans="1:3" x14ac:dyDescent="0.25">
      <c r="A83" t="s">
        <v>141</v>
      </c>
      <c r="B83" t="s">
        <v>145</v>
      </c>
      <c r="C83" t="s">
        <v>142</v>
      </c>
    </row>
    <row r="84" spans="1:3" x14ac:dyDescent="0.25">
      <c r="A84" t="s">
        <v>192</v>
      </c>
      <c r="B84" t="s">
        <v>145</v>
      </c>
      <c r="C84" t="s">
        <v>193</v>
      </c>
    </row>
    <row r="85" spans="1:3" x14ac:dyDescent="0.25">
      <c r="A85" t="s">
        <v>192</v>
      </c>
      <c r="B85" t="s">
        <v>145</v>
      </c>
      <c r="C85" t="s">
        <v>194</v>
      </c>
    </row>
    <row r="86" spans="1:3" x14ac:dyDescent="0.25">
      <c r="A86" t="s">
        <v>195</v>
      </c>
      <c r="B86" t="s">
        <v>196</v>
      </c>
      <c r="C86" t="s">
        <v>197</v>
      </c>
    </row>
    <row r="87" spans="1:3" x14ac:dyDescent="0.25">
      <c r="A87" t="s">
        <v>198</v>
      </c>
      <c r="B87" t="s">
        <v>196</v>
      </c>
      <c r="C87" t="s">
        <v>199</v>
      </c>
    </row>
    <row r="88" spans="1:3" x14ac:dyDescent="0.25">
      <c r="A88" t="s">
        <v>200</v>
      </c>
      <c r="B88" t="s">
        <v>196</v>
      </c>
      <c r="C88" t="s">
        <v>201</v>
      </c>
    </row>
    <row r="89" spans="1:3" x14ac:dyDescent="0.25">
      <c r="A89" t="s">
        <v>202</v>
      </c>
      <c r="B89" t="s">
        <v>196</v>
      </c>
      <c r="C89" t="s">
        <v>203</v>
      </c>
    </row>
    <row r="90" spans="1:3" x14ac:dyDescent="0.25">
      <c r="A90" t="s">
        <v>204</v>
      </c>
      <c r="B90" t="s">
        <v>196</v>
      </c>
      <c r="C90" t="s">
        <v>205</v>
      </c>
    </row>
    <row r="91" spans="1:3" x14ac:dyDescent="0.25">
      <c r="A91" t="s">
        <v>206</v>
      </c>
      <c r="B91" t="s">
        <v>196</v>
      </c>
      <c r="C91" t="s">
        <v>207</v>
      </c>
    </row>
    <row r="92" spans="1:3" x14ac:dyDescent="0.25">
      <c r="A92" t="s">
        <v>208</v>
      </c>
      <c r="B92" t="s">
        <v>196</v>
      </c>
      <c r="C92" t="s">
        <v>209</v>
      </c>
    </row>
    <row r="93" spans="1:3" x14ac:dyDescent="0.25">
      <c r="A93" t="s">
        <v>210</v>
      </c>
      <c r="B93" t="s">
        <v>196</v>
      </c>
      <c r="C93" t="s">
        <v>211</v>
      </c>
    </row>
    <row r="94" spans="1:3" x14ac:dyDescent="0.25">
      <c r="A94" t="s">
        <v>212</v>
      </c>
      <c r="B94" t="s">
        <v>196</v>
      </c>
      <c r="C94" t="s">
        <v>213</v>
      </c>
    </row>
    <row r="95" spans="1:3" x14ac:dyDescent="0.25">
      <c r="A95" t="s">
        <v>214</v>
      </c>
      <c r="B95" t="s">
        <v>196</v>
      </c>
      <c r="C95" t="s">
        <v>215</v>
      </c>
    </row>
    <row r="96" spans="1:3" x14ac:dyDescent="0.25">
      <c r="A96" t="s">
        <v>216</v>
      </c>
      <c r="B96" t="s">
        <v>196</v>
      </c>
      <c r="C96" t="s">
        <v>217</v>
      </c>
    </row>
    <row r="97" spans="1:3" x14ac:dyDescent="0.25">
      <c r="A97" t="s">
        <v>82</v>
      </c>
      <c r="B97" t="s">
        <v>196</v>
      </c>
      <c r="C97" t="s">
        <v>29</v>
      </c>
    </row>
    <row r="98" spans="1:3" x14ac:dyDescent="0.25">
      <c r="A98" t="s">
        <v>85</v>
      </c>
      <c r="B98" t="s">
        <v>196</v>
      </c>
      <c r="C98" t="s">
        <v>86</v>
      </c>
    </row>
    <row r="99" spans="1:3" x14ac:dyDescent="0.25">
      <c r="A99" t="s">
        <v>218</v>
      </c>
      <c r="B99" t="s">
        <v>196</v>
      </c>
      <c r="C99" t="s">
        <v>219</v>
      </c>
    </row>
    <row r="100" spans="1:3" x14ac:dyDescent="0.25">
      <c r="A100" t="s">
        <v>220</v>
      </c>
      <c r="B100" t="s">
        <v>196</v>
      </c>
      <c r="C100" t="s">
        <v>221</v>
      </c>
    </row>
    <row r="101" spans="1:3" x14ac:dyDescent="0.25">
      <c r="A101" t="s">
        <v>222</v>
      </c>
      <c r="B101" t="s">
        <v>196</v>
      </c>
      <c r="C101" t="s">
        <v>223</v>
      </c>
    </row>
    <row r="102" spans="1:3" x14ac:dyDescent="0.25">
      <c r="A102" t="s">
        <v>103</v>
      </c>
      <c r="B102" t="s">
        <v>196</v>
      </c>
      <c r="C102" t="s">
        <v>104</v>
      </c>
    </row>
    <row r="103" spans="1:3" x14ac:dyDescent="0.25">
      <c r="A103" t="s">
        <v>105</v>
      </c>
      <c r="B103" t="s">
        <v>196</v>
      </c>
      <c r="C103" t="s">
        <v>106</v>
      </c>
    </row>
    <row r="104" spans="1:3" x14ac:dyDescent="0.25">
      <c r="A104" t="s">
        <v>224</v>
      </c>
      <c r="B104" t="s">
        <v>196</v>
      </c>
      <c r="C104" t="s">
        <v>225</v>
      </c>
    </row>
    <row r="105" spans="1:3" x14ac:dyDescent="0.25">
      <c r="A105" t="s">
        <v>226</v>
      </c>
      <c r="B105" t="s">
        <v>196</v>
      </c>
      <c r="C105" t="s">
        <v>227</v>
      </c>
    </row>
    <row r="106" spans="1:3" x14ac:dyDescent="0.25">
      <c r="A106" t="s">
        <v>228</v>
      </c>
      <c r="B106" t="s">
        <v>196</v>
      </c>
      <c r="C106" t="s">
        <v>229</v>
      </c>
    </row>
    <row r="107" spans="1:3" x14ac:dyDescent="0.25">
      <c r="A107" t="s">
        <v>230</v>
      </c>
      <c r="B107" t="s">
        <v>231</v>
      </c>
      <c r="C107" t="s">
        <v>232</v>
      </c>
    </row>
    <row r="108" spans="1:3" x14ac:dyDescent="0.25">
      <c r="A108" t="s">
        <v>233</v>
      </c>
      <c r="B108" t="s">
        <v>196</v>
      </c>
      <c r="C108" t="s">
        <v>234</v>
      </c>
    </row>
    <row r="109" spans="1:3" x14ac:dyDescent="0.25">
      <c r="A109" t="s">
        <v>117</v>
      </c>
      <c r="B109" t="s">
        <v>196</v>
      </c>
      <c r="C109" t="s">
        <v>118</v>
      </c>
    </row>
    <row r="110" spans="1:3" x14ac:dyDescent="0.25">
      <c r="A110" t="s">
        <v>121</v>
      </c>
      <c r="B110" t="s">
        <v>196</v>
      </c>
      <c r="C110" t="s">
        <v>122</v>
      </c>
    </row>
    <row r="111" spans="1:3" x14ac:dyDescent="0.25">
      <c r="A111" t="s">
        <v>235</v>
      </c>
      <c r="B111" t="s">
        <v>196</v>
      </c>
      <c r="C111" t="s">
        <v>236</v>
      </c>
    </row>
    <row r="112" spans="1:3" x14ac:dyDescent="0.25">
      <c r="A112" t="s">
        <v>237</v>
      </c>
      <c r="B112" t="s">
        <v>196</v>
      </c>
      <c r="C112" t="s">
        <v>238</v>
      </c>
    </row>
    <row r="113" spans="1:3" x14ac:dyDescent="0.25">
      <c r="A113" t="s">
        <v>239</v>
      </c>
      <c r="B113" t="s">
        <v>196</v>
      </c>
      <c r="C113" t="s">
        <v>240</v>
      </c>
    </row>
    <row r="114" spans="1:3" x14ac:dyDescent="0.25">
      <c r="A114" t="s">
        <v>135</v>
      </c>
      <c r="B114" t="s">
        <v>196</v>
      </c>
      <c r="C114" t="s">
        <v>136</v>
      </c>
    </row>
    <row r="115" spans="1:3" x14ac:dyDescent="0.25">
      <c r="A115" t="s">
        <v>241</v>
      </c>
      <c r="B115" t="s">
        <v>196</v>
      </c>
      <c r="C115" t="s">
        <v>242</v>
      </c>
    </row>
    <row r="116" spans="1:3" x14ac:dyDescent="0.25">
      <c r="A116" t="s">
        <v>243</v>
      </c>
      <c r="B116" t="s">
        <v>196</v>
      </c>
      <c r="C116" t="s">
        <v>244</v>
      </c>
    </row>
    <row r="117" spans="1:3" x14ac:dyDescent="0.25">
      <c r="A117" t="s">
        <v>143</v>
      </c>
      <c r="B117" t="s">
        <v>196</v>
      </c>
      <c r="C117" t="s">
        <v>144</v>
      </c>
    </row>
    <row r="118" spans="1:3" x14ac:dyDescent="0.25">
      <c r="A118" t="s">
        <v>82</v>
      </c>
      <c r="B118" t="s">
        <v>245</v>
      </c>
      <c r="C118" t="s">
        <v>29</v>
      </c>
    </row>
    <row r="119" spans="1:3" x14ac:dyDescent="0.25">
      <c r="A119" t="s">
        <v>135</v>
      </c>
      <c r="B119" t="s">
        <v>245</v>
      </c>
      <c r="C119" t="s">
        <v>136</v>
      </c>
    </row>
    <row r="120" spans="1:3" x14ac:dyDescent="0.25">
      <c r="A120" t="s">
        <v>246</v>
      </c>
      <c r="B120" t="s">
        <v>247</v>
      </c>
      <c r="C120" t="s">
        <v>248</v>
      </c>
    </row>
    <row r="121" spans="1:3" x14ac:dyDescent="0.25">
      <c r="A121" t="s">
        <v>249</v>
      </c>
      <c r="B121" t="s">
        <v>245</v>
      </c>
      <c r="C121" t="s">
        <v>250</v>
      </c>
    </row>
    <row r="122" spans="1:3" x14ac:dyDescent="0.25">
      <c r="A122" t="s">
        <v>195</v>
      </c>
      <c r="B122" t="s">
        <v>245</v>
      </c>
      <c r="C122" t="s">
        <v>197</v>
      </c>
    </row>
    <row r="123" spans="1:3" x14ac:dyDescent="0.25">
      <c r="A123" t="s">
        <v>251</v>
      </c>
      <c r="B123" t="s">
        <v>245</v>
      </c>
      <c r="C123" t="s">
        <v>252</v>
      </c>
    </row>
    <row r="124" spans="1:3" x14ac:dyDescent="0.25">
      <c r="A124" t="s">
        <v>253</v>
      </c>
      <c r="B124" t="s">
        <v>245</v>
      </c>
      <c r="C124" t="s">
        <v>254</v>
      </c>
    </row>
    <row r="125" spans="1:3" x14ac:dyDescent="0.25">
      <c r="A125" t="s">
        <v>255</v>
      </c>
      <c r="B125" t="s">
        <v>245</v>
      </c>
      <c r="C125" t="s">
        <v>256</v>
      </c>
    </row>
    <row r="126" spans="1:3" x14ac:dyDescent="0.25">
      <c r="A126" t="s">
        <v>257</v>
      </c>
      <c r="B126" t="s">
        <v>245</v>
      </c>
      <c r="C126" t="s">
        <v>258</v>
      </c>
    </row>
    <row r="127" spans="1:3" x14ac:dyDescent="0.25">
      <c r="A127" t="s">
        <v>259</v>
      </c>
      <c r="B127" t="s">
        <v>245</v>
      </c>
      <c r="C127" t="s">
        <v>260</v>
      </c>
    </row>
    <row r="128" spans="1:3" x14ac:dyDescent="0.25">
      <c r="A128" t="s">
        <v>261</v>
      </c>
      <c r="B128" t="s">
        <v>247</v>
      </c>
      <c r="C128" t="s">
        <v>260</v>
      </c>
    </row>
    <row r="129" spans="1:3" x14ac:dyDescent="0.25">
      <c r="A129" t="s">
        <v>262</v>
      </c>
      <c r="B129" t="s">
        <v>245</v>
      </c>
      <c r="C129" t="s">
        <v>263</v>
      </c>
    </row>
    <row r="130" spans="1:3" x14ac:dyDescent="0.25">
      <c r="A130" t="s">
        <v>264</v>
      </c>
      <c r="B130" t="s">
        <v>245</v>
      </c>
      <c r="C130" t="s">
        <v>265</v>
      </c>
    </row>
    <row r="131" spans="1:3" x14ac:dyDescent="0.25">
      <c r="A131" t="s">
        <v>266</v>
      </c>
      <c r="B131" t="s">
        <v>245</v>
      </c>
      <c r="C131" t="s">
        <v>267</v>
      </c>
    </row>
    <row r="132" spans="1:3" x14ac:dyDescent="0.25">
      <c r="A132" t="s">
        <v>268</v>
      </c>
      <c r="B132" t="s">
        <v>245</v>
      </c>
      <c r="C132" t="s">
        <v>269</v>
      </c>
    </row>
    <row r="133" spans="1:3" x14ac:dyDescent="0.25">
      <c r="A133" t="s">
        <v>270</v>
      </c>
      <c r="B133" t="s">
        <v>245</v>
      </c>
      <c r="C133" t="s">
        <v>271</v>
      </c>
    </row>
    <row r="134" spans="1:3" x14ac:dyDescent="0.25">
      <c r="A134" t="s">
        <v>272</v>
      </c>
      <c r="B134" t="s">
        <v>245</v>
      </c>
      <c r="C134" t="s">
        <v>273</v>
      </c>
    </row>
    <row r="135" spans="1:3" x14ac:dyDescent="0.25">
      <c r="A135" t="s">
        <v>274</v>
      </c>
      <c r="B135" t="s">
        <v>245</v>
      </c>
      <c r="C135" t="s">
        <v>275</v>
      </c>
    </row>
    <row r="136" spans="1:3" x14ac:dyDescent="0.25">
      <c r="A136" t="s">
        <v>276</v>
      </c>
      <c r="B136" t="s">
        <v>245</v>
      </c>
      <c r="C136" t="s">
        <v>277</v>
      </c>
    </row>
    <row r="137" spans="1:3" x14ac:dyDescent="0.25">
      <c r="A137" t="s">
        <v>278</v>
      </c>
      <c r="B137" t="s">
        <v>245</v>
      </c>
      <c r="C137" t="s">
        <v>279</v>
      </c>
    </row>
    <row r="138" spans="1:3" x14ac:dyDescent="0.25">
      <c r="A138" t="s">
        <v>280</v>
      </c>
      <c r="B138" t="s">
        <v>245</v>
      </c>
      <c r="C138" t="s">
        <v>281</v>
      </c>
    </row>
    <row r="139" spans="1:3" x14ac:dyDescent="0.25">
      <c r="A139" t="s">
        <v>282</v>
      </c>
      <c r="B139" t="s">
        <v>245</v>
      </c>
      <c r="C139" t="s">
        <v>283</v>
      </c>
    </row>
    <row r="140" spans="1:3" x14ac:dyDescent="0.25">
      <c r="A140" t="s">
        <v>284</v>
      </c>
      <c r="B140" t="s">
        <v>245</v>
      </c>
      <c r="C140" t="s">
        <v>285</v>
      </c>
    </row>
    <row r="141" spans="1:3" x14ac:dyDescent="0.25">
      <c r="A141" t="s">
        <v>286</v>
      </c>
      <c r="B141" t="s">
        <v>247</v>
      </c>
      <c r="C141" t="s">
        <v>285</v>
      </c>
    </row>
    <row r="142" spans="1:3" x14ac:dyDescent="0.25">
      <c r="A142" t="s">
        <v>287</v>
      </c>
      <c r="B142" t="s">
        <v>245</v>
      </c>
      <c r="C142" t="s">
        <v>288</v>
      </c>
    </row>
    <row r="143" spans="1:3" x14ac:dyDescent="0.25">
      <c r="A143" t="s">
        <v>289</v>
      </c>
      <c r="B143" t="s">
        <v>245</v>
      </c>
      <c r="C143" t="s">
        <v>290</v>
      </c>
    </row>
    <row r="144" spans="1:3" x14ac:dyDescent="0.25">
      <c r="A144" t="s">
        <v>291</v>
      </c>
      <c r="B144" t="s">
        <v>245</v>
      </c>
      <c r="C144" t="s">
        <v>292</v>
      </c>
    </row>
    <row r="145" spans="1:3" x14ac:dyDescent="0.25">
      <c r="A145" t="s">
        <v>293</v>
      </c>
      <c r="B145" t="s">
        <v>245</v>
      </c>
      <c r="C145" t="s">
        <v>294</v>
      </c>
    </row>
    <row r="146" spans="1:3" x14ac:dyDescent="0.25">
      <c r="A146" t="s">
        <v>295</v>
      </c>
      <c r="B146" t="s">
        <v>245</v>
      </c>
      <c r="C146" t="s">
        <v>296</v>
      </c>
    </row>
    <row r="147" spans="1:3" x14ac:dyDescent="0.25">
      <c r="A147" t="s">
        <v>297</v>
      </c>
      <c r="B147" t="s">
        <v>245</v>
      </c>
      <c r="C147" t="s">
        <v>298</v>
      </c>
    </row>
    <row r="148" spans="1:3" x14ac:dyDescent="0.25">
      <c r="A148" t="s">
        <v>299</v>
      </c>
      <c r="B148" t="s">
        <v>245</v>
      </c>
      <c r="C148" t="s">
        <v>300</v>
      </c>
    </row>
    <row r="149" spans="1:3" x14ac:dyDescent="0.25">
      <c r="A149" t="s">
        <v>301</v>
      </c>
      <c r="B149" t="s">
        <v>245</v>
      </c>
      <c r="C149" t="s">
        <v>302</v>
      </c>
    </row>
    <row r="150" spans="1:3" x14ac:dyDescent="0.25">
      <c r="A150" t="s">
        <v>303</v>
      </c>
      <c r="B150" t="s">
        <v>245</v>
      </c>
      <c r="C150" t="s">
        <v>304</v>
      </c>
    </row>
    <row r="151" spans="1:3" x14ac:dyDescent="0.25">
      <c r="A151" t="s">
        <v>305</v>
      </c>
      <c r="B151" t="s">
        <v>245</v>
      </c>
      <c r="C151" t="s">
        <v>306</v>
      </c>
    </row>
    <row r="152" spans="1:3" x14ac:dyDescent="0.25">
      <c r="A152" t="s">
        <v>307</v>
      </c>
      <c r="B152" t="s">
        <v>245</v>
      </c>
      <c r="C152" t="s">
        <v>308</v>
      </c>
    </row>
    <row r="153" spans="1:3" x14ac:dyDescent="0.25">
      <c r="A153" t="s">
        <v>309</v>
      </c>
      <c r="B153" t="s">
        <v>247</v>
      </c>
      <c r="C153" t="s">
        <v>308</v>
      </c>
    </row>
    <row r="154" spans="1:3" x14ac:dyDescent="0.25">
      <c r="A154" t="s">
        <v>310</v>
      </c>
      <c r="B154" t="s">
        <v>196</v>
      </c>
      <c r="C154" t="s">
        <v>311</v>
      </c>
    </row>
    <row r="155" spans="1:3" x14ac:dyDescent="0.25">
      <c r="A155" t="s">
        <v>312</v>
      </c>
      <c r="B155" t="s">
        <v>245</v>
      </c>
      <c r="C155" t="s">
        <v>313</v>
      </c>
    </row>
    <row r="156" spans="1:3" x14ac:dyDescent="0.25">
      <c r="A156" t="s">
        <v>312</v>
      </c>
      <c r="B156" t="s">
        <v>196</v>
      </c>
      <c r="C156" t="s">
        <v>313</v>
      </c>
    </row>
    <row r="157" spans="1:3" x14ac:dyDescent="0.25">
      <c r="A157" t="s">
        <v>314</v>
      </c>
      <c r="B157" t="s">
        <v>196</v>
      </c>
      <c r="C157" t="s">
        <v>315</v>
      </c>
    </row>
    <row r="158" spans="1:3" x14ac:dyDescent="0.25">
      <c r="A158" t="s">
        <v>316</v>
      </c>
      <c r="B158" t="s">
        <v>245</v>
      </c>
      <c r="C158" t="s">
        <v>317</v>
      </c>
    </row>
    <row r="159" spans="1:3" x14ac:dyDescent="0.25">
      <c r="A159" t="s">
        <v>316</v>
      </c>
      <c r="B159" t="s">
        <v>196</v>
      </c>
      <c r="C159" t="s">
        <v>317</v>
      </c>
    </row>
    <row r="160" spans="1:3" x14ac:dyDescent="0.25">
      <c r="A160" t="s">
        <v>318</v>
      </c>
      <c r="B160" t="s">
        <v>245</v>
      </c>
      <c r="C160" t="s">
        <v>319</v>
      </c>
    </row>
    <row r="161" spans="1:3" x14ac:dyDescent="0.25">
      <c r="A161" t="s">
        <v>320</v>
      </c>
      <c r="B161" t="s">
        <v>245</v>
      </c>
      <c r="C161" t="s">
        <v>321</v>
      </c>
    </row>
    <row r="162" spans="1:3" x14ac:dyDescent="0.25">
      <c r="A162" t="s">
        <v>322</v>
      </c>
      <c r="B162" t="s">
        <v>245</v>
      </c>
      <c r="C162" t="s">
        <v>323</v>
      </c>
    </row>
    <row r="163" spans="1:3" x14ac:dyDescent="0.25">
      <c r="A163" t="s">
        <v>324</v>
      </c>
      <c r="B163" t="s">
        <v>245</v>
      </c>
      <c r="C163" t="s">
        <v>325</v>
      </c>
    </row>
    <row r="164" spans="1:3" x14ac:dyDescent="0.25">
      <c r="A164" t="s">
        <v>326</v>
      </c>
      <c r="B164" t="s">
        <v>196</v>
      </c>
      <c r="C164" t="s">
        <v>327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22</vt:i4>
      </vt:variant>
      <vt:variant>
        <vt:lpstr>Rangos con nombre</vt:lpstr>
      </vt:variant>
      <vt:variant>
        <vt:i4>1</vt:i4>
      </vt:variant>
    </vt:vector>
  </HeadingPairs>
  <TitlesOfParts>
    <vt:vector size="23" baseType="lpstr">
      <vt:lpstr>cronograma</vt:lpstr>
      <vt:lpstr>referencias</vt:lpstr>
      <vt:lpstr>GDcronog</vt:lpstr>
      <vt:lpstr>GDportada</vt:lpstr>
      <vt:lpstr>GDcuerpo</vt:lpstr>
      <vt:lpstr>OU1</vt:lpstr>
      <vt:lpstr>OU2</vt:lpstr>
      <vt:lpstr>OU3</vt:lpstr>
      <vt:lpstr>OU4</vt:lpstr>
      <vt:lpstr>DA1.1</vt:lpstr>
      <vt:lpstr>DA2.1</vt:lpstr>
      <vt:lpstr>DA3.1</vt:lpstr>
      <vt:lpstr>DA4.1</vt:lpstr>
      <vt:lpstr>DA1.2</vt:lpstr>
      <vt:lpstr>DA2.2</vt:lpstr>
      <vt:lpstr>DA3.2</vt:lpstr>
      <vt:lpstr>DA4.2</vt:lpstr>
      <vt:lpstr>DA1.3</vt:lpstr>
      <vt:lpstr>DA2.3</vt:lpstr>
      <vt:lpstr>DA3.3</vt:lpstr>
      <vt:lpstr>DA4.3</vt:lpstr>
      <vt:lpstr>materias2023</vt:lpstr>
      <vt:lpstr>GDportada!Área_de_impresión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dc:creator>
  <cp:lastModifiedBy>Diego Meza</cp:lastModifiedBy>
  <cp:lastPrinted>2024-05-10T22:39:49Z</cp:lastPrinted>
  <dcterms:created xsi:type="dcterms:W3CDTF">2015-06-05T18:19:34Z</dcterms:created>
  <dcterms:modified xsi:type="dcterms:W3CDTF">2025-09-26T13:32:39Z</dcterms:modified>
</cp:coreProperties>
</file>